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wmf" ContentType="image/x-wmf"/>
  <Default Extension="png" ContentType="image/p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0752" windowHeight="10267" activeTab="2"/>
  </bookViews>
  <sheets>
    <sheet name="Assignments" sheetId="2" r:id="rId1"/>
    <sheet name="Performance" sheetId="3" r:id="rId2"/>
    <sheet name="Grade book" sheetId="1" r:id="rId3"/>
    <sheet name="clickme" sheetId="4" r:id="rId4"/>
    <sheet name="StudentSummaryReport" sheetId="5" r:id="rId5"/>
    <sheet name="对照表" sheetId="6" state="hidden" r:id="rId6"/>
  </sheets>
  <definedNames>
    <definedName name="_xleta.LEN" hidden="1" xlm="1" functionGroupId="14">#NAME?</definedName>
    <definedName name="_xlnm.Print_Area" localSheetId="4">StudentSummaryReport!$A$1:$E$54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Lam</author>
  </authors>
  <commentList>
    <comment ref="B1" authorId="0">
      <text>
        <r>
          <rPr>
            <b/>
            <sz val="9"/>
            <rFont val="宋体"/>
            <charset val="134"/>
          </rPr>
          <t xml:space="preserve">Lam:
</t>
        </r>
        <r>
          <rPr>
            <sz val="9"/>
            <rFont val="宋体"/>
            <charset val="134"/>
          </rPr>
          <t>Please key in course name here.
请手动输入课程名称。</t>
        </r>
      </text>
    </comment>
    <comment ref="E1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the actual dates in the format of yyyy/m/d such as 2025/2/13 in range D1:M1 or leave it blank in the case that the event doesn't occur yet.
请在D1:M1区域输入实际日期，输入时的格式为 yyyy/m/d 比如 2025/2/13，若考核（考试）没有发生，请留空白。</t>
        </r>
      </text>
    </comment>
  </commentList>
</comments>
</file>

<file path=xl/comments2.xml><?xml version="1.0" encoding="utf-8"?>
<comments xmlns="http://schemas.openxmlformats.org/spreadsheetml/2006/main">
  <authors>
    <author>Lam</author>
  </authors>
  <commentList>
    <comment ref="M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V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E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N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W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</commentList>
</comments>
</file>

<file path=xl/comments3.xml><?xml version="1.0" encoding="utf-8"?>
<comments xmlns="http://schemas.openxmlformats.org/spreadsheetml/2006/main">
  <authors>
    <author>Lam</author>
  </authors>
  <commentList>
    <comment ref="D1" authorId="0">
      <text>
        <r>
          <rPr>
            <b/>
            <sz val="10"/>
            <rFont val="宋体"/>
            <charset val="134"/>
          </rPr>
          <t xml:space="preserve">Lam:
</t>
        </r>
        <r>
          <rPr>
            <sz val="10"/>
            <rFont val="宋体"/>
            <charset val="134"/>
          </rPr>
          <t>Please key in course name here.
请手动输入课程名。</t>
        </r>
      </text>
    </comment>
    <comment ref="F1" authorId="0">
      <text>
        <r>
          <rPr>
            <b/>
            <sz val="10"/>
            <rFont val="宋体"/>
            <charset val="134"/>
          </rPr>
          <t xml:space="preserve">Lam:
</t>
        </r>
        <r>
          <rPr>
            <sz val="10"/>
            <rFont val="宋体"/>
            <charset val="134"/>
          </rPr>
          <t>Please key in teacher's name here.
请手动输入教师名。</t>
        </r>
      </text>
    </comment>
    <comment ref="H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I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J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K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L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M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N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</commentList>
</comments>
</file>

<file path=xl/comments4.xml><?xml version="1.0" encoding="utf-8"?>
<comments xmlns="http://schemas.openxmlformats.org/spreadsheetml/2006/main">
  <authors>
    <author>Lam</author>
  </authors>
  <commentList>
    <comment ref="E6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the actual data.
手动输入学年度。</t>
        </r>
      </text>
    </comment>
    <comment ref="E7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Generate "today" as of the date that this file is opening.
此处自动生成文件打开时的日期。</t>
        </r>
      </text>
    </comment>
    <comment ref="A15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"Semester 1" or "Semester 2".
请输入""Semester 1" 或 "Semester 2"。</t>
        </r>
      </text>
    </comment>
    <comment ref="B20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grade book的M列加一个百分号%
等级标准需对照表</t>
        </r>
      </text>
    </comment>
    <comment ref="A40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grade book里的H列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<sst xmlns="http://schemas.openxmlformats.org/spreadsheetml/2006/main" count="192" uniqueCount="116">
  <si>
    <t>Chemistry G10 C1</t>
  </si>
  <si>
    <t>Date</t>
  </si>
  <si>
    <t>Student ID</t>
  </si>
  <si>
    <t>First Name</t>
  </si>
  <si>
    <t>English Name</t>
  </si>
  <si>
    <t>Last Name</t>
  </si>
  <si>
    <t>Assignment 1</t>
  </si>
  <si>
    <t>Assignment 2</t>
  </si>
  <si>
    <t>Assignment 3</t>
  </si>
  <si>
    <t>Assignment 4</t>
  </si>
  <si>
    <t>Assignment 5</t>
  </si>
  <si>
    <t>Assignment 6</t>
  </si>
  <si>
    <t>Assignment 7</t>
  </si>
  <si>
    <t>Assignment 8</t>
  </si>
  <si>
    <t>Assignment 9</t>
  </si>
  <si>
    <t>Assignment 10</t>
  </si>
  <si>
    <t>Assignment Total</t>
  </si>
  <si>
    <t>xxxx</t>
  </si>
  <si>
    <t>Course Name</t>
  </si>
  <si>
    <t>Week</t>
  </si>
  <si>
    <t>Final</t>
  </si>
  <si>
    <t>Attendance</t>
  </si>
  <si>
    <t>Class Performance</t>
  </si>
  <si>
    <t>Monthly Performance 1</t>
  </si>
  <si>
    <t>Monthly Performance 2</t>
  </si>
  <si>
    <t>Monthly Performance 3</t>
  </si>
  <si>
    <t>Monthly Performance 4</t>
  </si>
  <si>
    <t>Monthly Performance 5(optional)</t>
  </si>
  <si>
    <t>Performance</t>
  </si>
  <si>
    <t>Course</t>
  </si>
  <si>
    <t>Math G10 C2</t>
  </si>
  <si>
    <t>Teacher</t>
  </si>
  <si>
    <t>Shi Feng</t>
  </si>
  <si>
    <r>
      <rPr>
        <sz val="11"/>
        <color theme="1"/>
        <rFont val="Times New Roman"/>
        <charset val="134"/>
      </rPr>
      <t xml:space="preserve">Assignments
</t>
    </r>
    <r>
      <rPr>
        <sz val="11"/>
        <color theme="1"/>
        <rFont val="等线"/>
        <charset val="134"/>
      </rPr>
      <t>课程任务</t>
    </r>
    <r>
      <rPr>
        <sz val="11"/>
        <color theme="1"/>
        <rFont val="Times New Roman"/>
        <charset val="134"/>
      </rPr>
      <t>/</t>
    </r>
    <r>
      <rPr>
        <sz val="11"/>
        <color theme="1"/>
        <rFont val="等线"/>
        <charset val="134"/>
      </rPr>
      <t>作业（</t>
    </r>
    <r>
      <rPr>
        <sz val="11"/>
        <color theme="1"/>
        <rFont val="Times New Roman"/>
        <charset val="134"/>
      </rPr>
      <t>20%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</si>
  <si>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Class Performance
</t>
    </r>
    <r>
      <rPr>
        <sz val="11"/>
        <color theme="1"/>
        <rFont val="等线"/>
        <charset val="134"/>
      </rPr>
      <t>课堂表现
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</si>
  <si>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Conduct
</t>
    </r>
    <r>
      <rPr>
        <sz val="11"/>
        <color theme="1"/>
        <rFont val="等线"/>
        <charset val="134"/>
      </rPr>
      <t>行为
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</si>
  <si>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Monthly Test1
</t>
    </r>
    <r>
      <rPr>
        <sz val="11"/>
        <color theme="1"/>
        <rFont val="等线"/>
        <charset val="134"/>
      </rPr>
      <t>第一次月考（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</si>
  <si>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Midterm Exam
</t>
    </r>
    <r>
      <rPr>
        <sz val="11"/>
        <color theme="1"/>
        <rFont val="宋体"/>
        <charset val="134"/>
      </rPr>
      <t>期中考试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等线"/>
        <charset val="134"/>
      </rPr>
      <t>（</t>
    </r>
    <r>
      <rPr>
        <sz val="11"/>
        <color theme="1"/>
        <rFont val="Times New Roman"/>
        <charset val="134"/>
      </rPr>
      <t>15%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</si>
  <si>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Monthly Test2
</t>
    </r>
    <r>
      <rPr>
        <sz val="11"/>
        <color theme="1"/>
        <rFont val="等线"/>
        <charset val="134"/>
      </rPr>
      <t>第二次月考（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</si>
  <si>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Final Exam
</t>
    </r>
    <r>
      <rPr>
        <sz val="11"/>
        <color theme="1"/>
        <rFont val="等线"/>
        <charset val="134"/>
      </rPr>
      <t>期末考试
（</t>
    </r>
    <r>
      <rPr>
        <sz val="11"/>
        <color theme="1"/>
        <rFont val="Times New Roman"/>
        <charset val="134"/>
      </rPr>
      <t>25%</t>
    </r>
    <r>
      <rPr>
        <sz val="11"/>
        <color theme="1"/>
        <rFont val="等线"/>
        <charset val="134"/>
      </rPr>
      <t>）</t>
    </r>
  </si>
  <si>
    <t xml:space="preserve">Mid/Final
Grade
</t>
  </si>
  <si>
    <t>Absence</t>
  </si>
  <si>
    <t>Work Habit</t>
  </si>
  <si>
    <t>Com1</t>
  </si>
  <si>
    <t>Com2</t>
  </si>
  <si>
    <t>Jingzhi</t>
  </si>
  <si>
    <t>Jin</t>
  </si>
  <si>
    <t>Zhou</t>
  </si>
  <si>
    <t>Wencong</t>
  </si>
  <si>
    <t>tobby</t>
  </si>
  <si>
    <t>Zou</t>
  </si>
  <si>
    <t>Keqi</t>
  </si>
  <si>
    <t>kerwin</t>
  </si>
  <si>
    <t>Huang</t>
  </si>
  <si>
    <t>Zhiyun</t>
  </si>
  <si>
    <t>tyler</t>
  </si>
  <si>
    <t>Yang</t>
  </si>
  <si>
    <t>Zhongbo</t>
  </si>
  <si>
    <t>Charles</t>
  </si>
  <si>
    <t>Rao</t>
  </si>
  <si>
    <t>Xieyi</t>
  </si>
  <si>
    <t>sherry</t>
  </si>
  <si>
    <t>Shen</t>
  </si>
  <si>
    <t>Chengrui</t>
  </si>
  <si>
    <t>chad</t>
  </si>
  <si>
    <t>Wenbo</t>
  </si>
  <si>
    <t>bobby</t>
  </si>
  <si>
    <t>Liu</t>
  </si>
  <si>
    <t>Hanyu</t>
  </si>
  <si>
    <t>claudia</t>
  </si>
  <si>
    <t>Li</t>
  </si>
  <si>
    <t>Yangwenbo</t>
  </si>
  <si>
    <t>tony</t>
  </si>
  <si>
    <t>Xiang</t>
  </si>
  <si>
    <t>Ruirui</t>
  </si>
  <si>
    <t>Rose</t>
  </si>
  <si>
    <t>Ruoxi</t>
  </si>
  <si>
    <t>Zoe</t>
  </si>
  <si>
    <t>Luo</t>
  </si>
  <si>
    <t>Zhenjie</t>
  </si>
  <si>
    <t>Mark</t>
  </si>
  <si>
    <t>Zhao</t>
  </si>
  <si>
    <t>Junran</t>
  </si>
  <si>
    <t>Ryan</t>
  </si>
  <si>
    <t>Chengyi</t>
  </si>
  <si>
    <t>cimi</t>
  </si>
  <si>
    <t>Botao</t>
  </si>
  <si>
    <t>breezi</t>
  </si>
  <si>
    <t>Jiang</t>
  </si>
  <si>
    <t>Kezhen</t>
  </si>
  <si>
    <t>chloe</t>
  </si>
  <si>
    <t>Xian</t>
  </si>
  <si>
    <t>Yuen</t>
  </si>
  <si>
    <t>Mandy</t>
  </si>
  <si>
    <t>Liang</t>
  </si>
  <si>
    <t>Maijia</t>
  </si>
  <si>
    <t>Mai</t>
  </si>
  <si>
    <t>Su</t>
  </si>
  <si>
    <t>Sino Bright School</t>
  </si>
  <si>
    <t>2024 - 2025</t>
  </si>
  <si>
    <t>Student Summary</t>
  </si>
  <si>
    <t>Xiaxuan</t>
  </si>
  <si>
    <t>Semester 2</t>
  </si>
  <si>
    <t>Grade Calc Details:</t>
  </si>
  <si>
    <t>20% Assignments, 10% Class perfomance, 10% Conduct, 10% Monthly test 1, 15% Midterm exam, 10% Monthly test 2, 25% Final exam</t>
  </si>
  <si>
    <t>Calculated Grade:</t>
  </si>
  <si>
    <t>Assignments</t>
  </si>
  <si>
    <t>Assignment</t>
  </si>
  <si>
    <t>Weight</t>
  </si>
  <si>
    <t>Result</t>
  </si>
  <si>
    <t>Class Perfomance</t>
  </si>
  <si>
    <t xml:space="preserve">Conduct </t>
  </si>
  <si>
    <t>Monthly test 1</t>
  </si>
  <si>
    <t>Midterm exam</t>
  </si>
  <si>
    <t>Monthly test 2</t>
  </si>
  <si>
    <t>Final exam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</si>
</sst>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409]d\ mmm\.\ yy;@"/>
    <numFmt numFmtId="177" formatCode="[$-409]d\-mmm\-yy;@"/>
  </numFmts>
  <fonts count="68">
    <font>
      <sz val="11"/>
      <color theme="1"/>
      <name val="等线"/>
      <charset val="134"/>
      <scheme val="minor"/>
    </font>
    <font>
      <sz val="11"/>
      <color rgb="FF000000"/>
      <name val="Calibri"/>
      <charset val="134"/>
    </font>
    <font>
      <sz val="11"/>
      <name val="Calibri"/>
      <charset val="134"/>
    </font>
    <font>
      <b/>
      <sz val="10"/>
      <color theme="0"/>
      <name val="Calibri"/>
      <charset val="134"/>
    </font>
    <font>
      <sz val="10"/>
      <color rgb="FF002060"/>
      <name val="Calibri"/>
      <charset val="134"/>
    </font>
    <font>
      <sz val="10"/>
      <color rgb="FF000000"/>
      <name val="Calibri"/>
      <charset val="134"/>
    </font>
    <font>
      <b/>
      <sz val="16"/>
      <color rgb="FF000000"/>
      <name val="Calibri"/>
      <charset val="134"/>
    </font>
    <font>
      <b/>
      <sz val="7.8"/>
      <color theme="0"/>
      <name val="Calibri"/>
      <charset val="134"/>
    </font>
    <font>
      <sz val="12"/>
      <color rgb="FF000000"/>
      <name val="Calibri"/>
      <charset val="134"/>
    </font>
    <font>
      <b/>
      <sz val="11"/>
      <color theme="1"/>
      <name val="Calibri"/>
      <charset val="134"/>
    </font>
    <font>
      <b/>
      <sz val="7.8"/>
      <color rgb="FF000000"/>
      <name val="Calibri"/>
      <charset val="134"/>
    </font>
    <font>
      <sz val="7.8"/>
      <color rgb="FF000000"/>
      <name val="Calibri"/>
      <charset val="134"/>
    </font>
    <font>
      <b/>
      <sz val="7.8"/>
      <color rgb="FF002060"/>
      <name val="Calibri"/>
      <charset val="134"/>
    </font>
    <font>
      <sz val="7.6"/>
      <color rgb="FF000000"/>
      <name val="Calibri"/>
      <charset val="134"/>
    </font>
    <font>
      <sz val="8"/>
      <color rgb="FF000000"/>
      <name val="Calibri"/>
      <charset val="134"/>
    </font>
    <font>
      <sz val="7"/>
      <color rgb="FF000000"/>
      <name val="Calibri"/>
      <charset val="134"/>
    </font>
    <font>
      <sz val="8"/>
      <name val="Calibri"/>
      <charset val="134"/>
    </font>
    <font>
      <b/>
      <sz val="7.4"/>
      <color rgb="FF000000"/>
      <name val="Calibri"/>
      <charset val="134"/>
    </font>
    <font>
      <sz val="7.6"/>
      <name val="Calibri"/>
      <charset val="134"/>
    </font>
    <font>
      <sz val="7.3"/>
      <color rgb="FF000000"/>
      <name val="Calibri"/>
      <charset val="134"/>
    </font>
    <font>
      <sz val="7.9"/>
      <color rgb="FF000000"/>
      <name val="Calibri"/>
      <charset val="134"/>
    </font>
    <font>
      <sz val="6.8"/>
      <color rgb="FF000000"/>
      <name val="Calibri"/>
      <charset val="134"/>
    </font>
    <font>
      <b/>
      <sz val="7.7"/>
      <color rgb="FF000000"/>
      <name val="Calibri"/>
      <charset val="134"/>
    </font>
    <font>
      <sz val="7.7"/>
      <color rgb="FF000000"/>
      <name val="Calibri"/>
      <charset val="134"/>
    </font>
    <font>
      <strike/>
      <sz val="8"/>
      <color rgb="FF000000"/>
      <name val="Calibri"/>
      <charset val="134"/>
    </font>
    <font>
      <sz val="8"/>
      <color rgb="FF002060"/>
      <name val="Calibri"/>
      <charset val="134"/>
    </font>
    <font>
      <sz val="7.4"/>
      <color theme="0"/>
      <name val="Calibri"/>
      <charset val="134"/>
    </font>
    <font>
      <sz val="11"/>
      <color theme="1"/>
      <name val="Times New Roman"/>
      <charset val="134"/>
    </font>
    <font>
      <b/>
      <sz val="10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9"/>
      <color rgb="FF000000"/>
      <name val="宋体"/>
      <charset val="134"/>
    </font>
    <font>
      <sz val="11"/>
      <color theme="0"/>
      <name val="Times New Roman"/>
      <charset val="134"/>
    </font>
    <font>
      <sz val="9"/>
      <color theme="1"/>
      <name val="宋体"/>
      <charset val="134"/>
    </font>
    <font>
      <sz val="10"/>
      <color theme="1"/>
      <name val="宋体"/>
      <charset val="134"/>
    </font>
    <font>
      <sz val="10"/>
      <color rgb="FF000000"/>
      <name val="等线"/>
      <charset val="134"/>
      <scheme val="minor"/>
    </font>
    <font>
      <sz val="10"/>
      <color rgb="FF000000"/>
      <name val="宋体"/>
      <charset val="134"/>
    </font>
    <font>
      <b/>
      <sz val="11"/>
      <color theme="0"/>
      <name val="等线"/>
      <charset val="134"/>
      <scheme val="minor"/>
    </font>
    <font>
      <b/>
      <sz val="9"/>
      <color rgb="FF002060"/>
      <name val="Times New Roman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0000"/>
      <name val="宋体"/>
      <charset val="134"/>
    </font>
    <font>
      <sz val="11"/>
      <color theme="1"/>
      <name val="等线"/>
      <charset val="134"/>
    </font>
    <font>
      <sz val="11"/>
      <color theme="1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11"/>
      <name val="宋体"/>
      <charset val="134"/>
    </font>
    <font>
      <sz val="10"/>
      <name val="宋体"/>
      <charset val="134"/>
    </font>
    <font>
      <b/>
      <sz val="14"/>
      <name val="宋体"/>
      <charset val="134"/>
    </font>
    <font>
      <sz val="14"/>
      <name val="宋体"/>
      <charset val="134"/>
    </font>
    <font>
      <b/>
      <sz val="10"/>
      <name val="宋体"/>
      <charset val="134"/>
    </font>
    <font>
      <b/>
      <sz val="11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theme="0" tint="-0.14993743705557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rgb="FF002060"/>
      </bottom>
      <diagonal/>
    </border>
    <border>
      <left/>
      <right/>
      <top/>
      <bottom style="medium">
        <color rgb="FF00206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0" fillId="8" borderId="6" applyNumberFormat="0" applyFont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4" fillId="0" borderId="7" applyNumberFormat="0" applyFill="0" applyAlignment="0" applyProtection="0">
      <alignment vertical="center"/>
    </xf>
    <xf numFmtId="0" fontId="45" fillId="0" borderId="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9" borderId="9" applyNumberFormat="0" applyAlignment="0" applyProtection="0">
      <alignment vertical="center"/>
    </xf>
    <xf numFmtId="0" fontId="47" fillId="10" borderId="10" applyNumberFormat="0" applyAlignment="0" applyProtection="0">
      <alignment vertical="center"/>
    </xf>
    <xf numFmtId="0" fontId="48" fillId="10" borderId="9" applyNumberFormat="0" applyAlignment="0" applyProtection="0">
      <alignment vertical="center"/>
    </xf>
    <xf numFmtId="0" fontId="49" fillId="11" borderId="11" applyNumberFormat="0" applyAlignment="0" applyProtection="0">
      <alignment vertical="center"/>
    </xf>
    <xf numFmtId="0" fontId="50" fillId="0" borderId="12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2" fillId="12" borderId="0" applyNumberFormat="0" applyBorder="0" applyAlignment="0" applyProtection="0">
      <alignment vertical="center"/>
    </xf>
    <xf numFmtId="0" fontId="53" fillId="13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6" fillId="16" borderId="0" applyNumberFormat="0" applyBorder="0" applyAlignment="0" applyProtection="0">
      <alignment vertical="center"/>
    </xf>
    <xf numFmtId="0" fontId="56" fillId="17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6" fillId="20" borderId="0" applyNumberFormat="0" applyBorder="0" applyAlignment="0" applyProtection="0">
      <alignment vertical="center"/>
    </xf>
    <xf numFmtId="0" fontId="56" fillId="21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6" fillId="24" borderId="0" applyNumberFormat="0" applyBorder="0" applyAlignment="0" applyProtection="0">
      <alignment vertical="center"/>
    </xf>
    <xf numFmtId="0" fontId="56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6" fillId="28" borderId="0" applyNumberFormat="0" applyBorder="0" applyAlignment="0" applyProtection="0">
      <alignment vertical="center"/>
    </xf>
    <xf numFmtId="0" fontId="56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56" fillId="32" borderId="0" applyNumberFormat="0" applyBorder="0" applyAlignment="0" applyProtection="0">
      <alignment vertical="center"/>
    </xf>
    <xf numFmtId="0" fontId="56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6" fillId="36" borderId="0" applyNumberFormat="0" applyBorder="0" applyAlignment="0" applyProtection="0">
      <alignment vertical="center"/>
    </xf>
    <xf numFmtId="0" fontId="56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7" fillId="0" borderId="0" applyFill="0">
      <alignment vertical="center"/>
    </xf>
  </cellStyleXfs>
  <cellXfs count="73">
    <xf numFmtId="0" fontId="0" fillId="0" borderId="0" xfId="0"/>
    <xf numFmtId="0" fontId="1" fillId="0" borderId="0" xfId="49" applyFont="1" applyFill="1">
      <alignment vertical="center"/>
    </xf>
    <xf numFmtId="0" fontId="2" fillId="0" borderId="0" xfId="49" applyFont="1" applyFill="1">
      <alignment vertical="center"/>
    </xf>
    <xf numFmtId="0" fontId="3" fillId="0" borderId="0" xfId="49" applyFont="1" applyFill="1">
      <alignment vertical="center"/>
    </xf>
    <xf numFmtId="0" fontId="4" fillId="0" borderId="0" xfId="49" applyFont="1" applyFill="1">
      <alignment vertical="center"/>
    </xf>
    <xf numFmtId="0" fontId="4" fillId="0" borderId="0" xfId="49" applyFont="1" applyFill="1" applyAlignment="1" applyProtection="1">
      <alignment horizontal="right" vertical="center"/>
      <protection locked="0"/>
    </xf>
    <xf numFmtId="0" fontId="5" fillId="0" borderId="0" xfId="49" applyFont="1" applyFill="1">
      <alignment vertical="center"/>
    </xf>
    <xf numFmtId="0" fontId="4" fillId="0" borderId="0" xfId="49" applyFont="1" applyFill="1" applyAlignment="1">
      <alignment horizontal="right" vertical="center"/>
    </xf>
    <xf numFmtId="0" fontId="6" fillId="0" borderId="1" xfId="49" applyFont="1" applyFill="1" applyBorder="1">
      <alignment vertical="center"/>
    </xf>
    <xf numFmtId="0" fontId="6" fillId="0" borderId="1" xfId="49" applyFont="1" applyFill="1" applyBorder="1" applyAlignment="1">
      <alignment horizontal="right" vertical="center"/>
    </xf>
    <xf numFmtId="0" fontId="7" fillId="0" borderId="0" xfId="49" applyFont="1" applyFill="1" applyAlignment="1" applyProtection="1">
      <alignment horizontal="left" vertical="center" wrapText="1"/>
      <protection locked="0"/>
    </xf>
    <xf numFmtId="0" fontId="8" fillId="0" borderId="0" xfId="49" applyFont="1" applyFill="1" applyAlignment="1">
      <alignment horizontal="left" vertical="center" wrapText="1"/>
    </xf>
    <xf numFmtId="0" fontId="9" fillId="0" borderId="0" xfId="49" applyFont="1" applyFill="1" applyAlignment="1">
      <alignment horizontal="left" vertical="center" wrapText="1"/>
    </xf>
    <xf numFmtId="0" fontId="10" fillId="0" borderId="1" xfId="49" applyFont="1" applyFill="1" applyBorder="1" applyAlignment="1">
      <alignment horizontal="left" vertical="center" wrapText="1"/>
    </xf>
    <xf numFmtId="0" fontId="8" fillId="0" borderId="1" xfId="49" applyFont="1" applyFill="1" applyBorder="1" applyAlignment="1">
      <alignment vertical="center" wrapText="1"/>
    </xf>
    <xf numFmtId="0" fontId="1" fillId="0" borderId="1" xfId="49" applyFont="1" applyFill="1" applyBorder="1">
      <alignment vertical="center"/>
    </xf>
    <xf numFmtId="0" fontId="10" fillId="0" borderId="2" xfId="49" applyFont="1" applyFill="1" applyBorder="1" applyAlignment="1">
      <alignment horizontal="left" vertical="center" wrapText="1"/>
    </xf>
    <xf numFmtId="0" fontId="8" fillId="0" borderId="2" xfId="49" applyFont="1" applyFill="1" applyBorder="1" applyAlignment="1">
      <alignment vertical="center" wrapText="1"/>
    </xf>
    <xf numFmtId="0" fontId="1" fillId="0" borderId="2" xfId="49" applyFont="1" applyFill="1" applyBorder="1">
      <alignment vertical="center"/>
    </xf>
    <xf numFmtId="0" fontId="10" fillId="0" borderId="0" xfId="49" applyFont="1" applyFill="1" applyAlignment="1">
      <alignment horizontal="left" vertical="center" wrapText="1"/>
    </xf>
    <xf numFmtId="0" fontId="8" fillId="0" borderId="0" xfId="49" applyFont="1" applyFill="1" applyAlignment="1">
      <alignment vertical="center" wrapText="1"/>
    </xf>
    <xf numFmtId="0" fontId="11" fillId="0" borderId="0" xfId="49" applyFont="1" applyFill="1" applyAlignment="1">
      <alignment horizontal="left" vertical="center" wrapText="1"/>
    </xf>
    <xf numFmtId="0" fontId="12" fillId="0" borderId="0" xfId="49" applyFont="1" applyFill="1" applyAlignment="1" applyProtection="1">
      <alignment horizontal="left" vertical="center" wrapText="1"/>
      <protection locked="0"/>
    </xf>
    <xf numFmtId="0" fontId="13" fillId="0" borderId="0" xfId="49" applyFont="1" applyFill="1" applyAlignment="1">
      <alignment horizontal="left" vertical="center" wrapText="1"/>
    </xf>
    <xf numFmtId="0" fontId="14" fillId="0" borderId="0" xfId="49" applyFont="1" applyFill="1" applyAlignment="1">
      <alignment horizontal="left" vertical="center" wrapText="1"/>
    </xf>
    <xf numFmtId="0" fontId="15" fillId="0" borderId="0" xfId="49" applyFont="1" applyFill="1" applyAlignment="1">
      <alignment horizontal="left" vertical="center" wrapText="1"/>
    </xf>
    <xf numFmtId="0" fontId="16" fillId="0" borderId="0" xfId="49" applyFont="1" applyFill="1" applyAlignment="1">
      <alignment horizontal="left" vertical="center" wrapText="1"/>
    </xf>
    <xf numFmtId="0" fontId="17" fillId="0" borderId="0" xfId="49" applyFont="1" applyFill="1" applyAlignment="1">
      <alignment horizontal="left" vertical="center" wrapText="1"/>
    </xf>
    <xf numFmtId="0" fontId="18" fillId="0" borderId="0" xfId="49" applyFont="1" applyFill="1" applyAlignment="1">
      <alignment horizontal="left" vertical="center" wrapText="1"/>
    </xf>
    <xf numFmtId="0" fontId="10" fillId="0" borderId="0" xfId="49" applyFont="1" applyFill="1" applyAlignment="1">
      <alignment vertical="center" wrapText="1"/>
    </xf>
    <xf numFmtId="0" fontId="19" fillId="0" borderId="0" xfId="49" applyFont="1" applyFill="1" applyAlignment="1">
      <alignment horizontal="left" vertical="center" wrapText="1"/>
    </xf>
    <xf numFmtId="176" fontId="20" fillId="0" borderId="0" xfId="49" applyNumberFormat="1" applyFont="1" applyFill="1" applyAlignment="1">
      <alignment horizontal="left" vertical="center" wrapText="1"/>
    </xf>
    <xf numFmtId="0" fontId="21" fillId="0" borderId="0" xfId="49" applyFont="1" applyFill="1" applyAlignment="1">
      <alignment horizontal="left" vertical="center" wrapText="1"/>
    </xf>
    <xf numFmtId="0" fontId="22" fillId="0" borderId="0" xfId="49" applyFont="1" applyFill="1">
      <alignment vertical="center"/>
    </xf>
    <xf numFmtId="0" fontId="23" fillId="0" borderId="0" xfId="49" applyFont="1" applyFill="1" applyAlignment="1">
      <alignment vertical="center" wrapText="1"/>
    </xf>
    <xf numFmtId="1" fontId="14" fillId="0" borderId="0" xfId="49" applyNumberFormat="1" applyFont="1" applyFill="1" applyAlignment="1">
      <alignment horizontal="left" vertical="center" wrapText="1"/>
    </xf>
    <xf numFmtId="176" fontId="14" fillId="0" borderId="0" xfId="49" applyNumberFormat="1" applyFont="1" applyFill="1" applyAlignment="1">
      <alignment horizontal="left" vertical="center" wrapText="1"/>
    </xf>
    <xf numFmtId="0" fontId="23" fillId="0" borderId="0" xfId="49" applyFont="1" applyFill="1">
      <alignment vertical="center"/>
    </xf>
    <xf numFmtId="0" fontId="14" fillId="0" borderId="0" xfId="49" applyFont="1" applyFill="1" applyAlignment="1">
      <alignment vertical="center" wrapText="1"/>
    </xf>
    <xf numFmtId="0" fontId="13" fillId="0" borderId="0" xfId="49" applyFont="1" applyFill="1">
      <alignment vertical="center"/>
    </xf>
    <xf numFmtId="0" fontId="24" fillId="0" borderId="0" xfId="49" applyFont="1" applyFill="1" applyAlignment="1">
      <alignment vertical="center" wrapText="1"/>
    </xf>
    <xf numFmtId="176" fontId="25" fillId="0" borderId="0" xfId="49" applyNumberFormat="1" applyFont="1" applyFill="1" applyAlignment="1">
      <alignment horizontal="left" vertical="center" wrapText="1"/>
    </xf>
    <xf numFmtId="0" fontId="25" fillId="0" borderId="0" xfId="49" applyFont="1" applyFill="1" applyAlignment="1">
      <alignment vertical="center" wrapText="1"/>
    </xf>
    <xf numFmtId="0" fontId="26" fillId="0" borderId="0" xfId="49" applyFont="1" applyFill="1" applyAlignment="1">
      <alignment horizontal="left" vertical="center" wrapText="1"/>
    </xf>
    <xf numFmtId="0" fontId="23" fillId="0" borderId="0" xfId="49" applyFont="1" applyFill="1" applyAlignment="1">
      <alignment horizontal="left" vertical="center" wrapText="1"/>
    </xf>
    <xf numFmtId="177" fontId="0" fillId="0" borderId="0" xfId="0" applyNumberFormat="1"/>
    <xf numFmtId="0" fontId="0" fillId="0" borderId="0" xfId="0" applyFont="1"/>
    <xf numFmtId="0" fontId="27" fillId="2" borderId="3" xfId="0" applyFont="1" applyFill="1" applyBorder="1" applyAlignment="1">
      <alignment horizontal="left" vertical="top" wrapText="1"/>
    </xf>
    <xf numFmtId="0" fontId="28" fillId="3" borderId="3" xfId="0" applyFont="1" applyFill="1" applyBorder="1" applyAlignment="1">
      <alignment horizontal="center" vertical="center" wrapText="1"/>
    </xf>
    <xf numFmtId="0" fontId="29" fillId="3" borderId="0" xfId="0" applyFont="1" applyFill="1" applyAlignment="1">
      <alignment horizontal="center" vertical="center" wrapText="1"/>
    </xf>
    <xf numFmtId="177" fontId="0" fillId="3" borderId="3" xfId="0" applyNumberFormat="1" applyFont="1" applyFill="1" applyBorder="1"/>
    <xf numFmtId="0" fontId="0" fillId="0" borderId="3" xfId="0" applyBorder="1"/>
    <xf numFmtId="0" fontId="27" fillId="0" borderId="3" xfId="0" applyFont="1" applyBorder="1" applyAlignment="1">
      <alignment horizontal="left" vertical="top"/>
    </xf>
    <xf numFmtId="0" fontId="30" fillId="0" borderId="3" xfId="0" applyFont="1" applyFill="1" applyBorder="1" applyAlignment="1">
      <alignment horizontal="center" vertical="center"/>
    </xf>
    <xf numFmtId="1" fontId="31" fillId="4" borderId="3" xfId="0" applyNumberFormat="1" applyFont="1" applyFill="1" applyBorder="1" applyAlignment="1">
      <alignment horizontal="center" vertical="top"/>
    </xf>
    <xf numFmtId="0" fontId="31" fillId="4" borderId="3" xfId="0" applyFont="1" applyFill="1" applyBorder="1" applyAlignment="1">
      <alignment horizontal="center" vertical="top"/>
    </xf>
    <xf numFmtId="0" fontId="32" fillId="0" borderId="3" xfId="0" applyFont="1" applyFill="1" applyBorder="1" applyAlignment="1">
      <alignment horizontal="center" vertical="center"/>
    </xf>
    <xf numFmtId="0" fontId="30" fillId="5" borderId="3" xfId="0" applyFont="1" applyFill="1" applyBorder="1" applyAlignment="1">
      <alignment horizontal="center" vertical="center"/>
    </xf>
    <xf numFmtId="0" fontId="33" fillId="6" borderId="3" xfId="0" applyFont="1" applyFill="1" applyBorder="1" applyAlignment="1">
      <alignment horizontal="center" vertical="center"/>
    </xf>
    <xf numFmtId="0" fontId="34" fillId="0" borderId="3" xfId="0" applyFont="1" applyFill="1" applyBorder="1" applyAlignment="1">
      <alignment horizontal="center" vertical="center"/>
    </xf>
    <xf numFmtId="0" fontId="35" fillId="6" borderId="3" xfId="0" applyFont="1" applyFill="1" applyBorder="1" applyAlignment="1">
      <alignment horizontal="center" vertical="center"/>
    </xf>
    <xf numFmtId="0" fontId="27" fillId="2" borderId="3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7" fillId="7" borderId="4" xfId="0" applyFont="1" applyFill="1" applyBorder="1" applyAlignment="1">
      <alignment horizontal="center" vertical="top" wrapText="1"/>
    </xf>
    <xf numFmtId="0" fontId="27" fillId="7" borderId="5" xfId="0" applyFont="1" applyFill="1" applyBorder="1" applyAlignment="1">
      <alignment horizontal="center" vertical="top" wrapText="1"/>
    </xf>
    <xf numFmtId="1" fontId="27" fillId="2" borderId="3" xfId="0" applyNumberFormat="1" applyFont="1" applyFill="1" applyBorder="1" applyAlignment="1">
      <alignment horizontal="left" vertical="top" wrapText="1"/>
    </xf>
    <xf numFmtId="176" fontId="27" fillId="3" borderId="3" xfId="0" applyNumberFormat="1" applyFont="1" applyFill="1" applyBorder="1" applyAlignment="1">
      <alignment horizontal="left" vertical="top" wrapText="1"/>
    </xf>
    <xf numFmtId="0" fontId="27" fillId="2" borderId="4" xfId="0" applyFont="1" applyFill="1" applyBorder="1" applyAlignment="1">
      <alignment horizontal="center" vertical="top" wrapText="1"/>
    </xf>
    <xf numFmtId="0" fontId="27" fillId="2" borderId="5" xfId="0" applyFont="1" applyFill="1" applyBorder="1" applyAlignment="1">
      <alignment horizontal="center" vertical="top" wrapText="1"/>
    </xf>
    <xf numFmtId="1" fontId="27" fillId="3" borderId="3" xfId="0" applyNumberFormat="1" applyFont="1" applyFill="1" applyBorder="1" applyAlignment="1">
      <alignment horizontal="left" vertical="top" wrapText="1"/>
    </xf>
    <xf numFmtId="0" fontId="36" fillId="4" borderId="3" xfId="0" applyFont="1" applyFill="1" applyBorder="1" applyAlignment="1">
      <alignment horizontal="center"/>
    </xf>
    <xf numFmtId="0" fontId="37" fillId="3" borderId="3" xfId="0" applyFont="1" applyFill="1" applyBorder="1" applyAlignment="1">
      <alignment horizontal="center" vertical="center" shrinkToFit="1"/>
    </xf>
    <xf numFmtId="1" fontId="31" fillId="4" borderId="3" xfId="0" applyNumberFormat="1" applyFont="1" applyFill="1" applyBorder="1" applyAlignment="1">
      <alignment horizontal="center" vertical="top" wrapText="1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Light16"/>
  <colors>
    <mruColors>
      <color rgb="006C9EAC"/>
      <color rgb="00D9D9D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customXml" Target="../customXml/item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microsoft.com/office/2006/relationships/vbaProject" Target="vbaProject.bin"/><Relationship Id="rId10" Type="http://schemas.openxmlformats.org/officeDocument/2006/relationships/sheetMetadata" Target="metadata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14</xdr:col>
          <xdr:colOff>0</xdr:colOff>
          <xdr:row>5</xdr:row>
          <xdr:rowOff>129540</xdr:rowOff>
        </xdr:to>
        <xdr:sp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5804535" y="175895"/>
              <a:ext cx="3149600" cy="83312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14</xdr:col>
          <xdr:colOff>0</xdr:colOff>
          <xdr:row>12</xdr:row>
          <xdr:rowOff>152400</xdr:rowOff>
        </xdr:to>
        <xdr:sp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7694295" y="1583055"/>
              <a:ext cx="1259840" cy="680085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11</xdr:col>
          <xdr:colOff>0</xdr:colOff>
          <xdr:row>12</xdr:row>
          <xdr:rowOff>152400</xdr:rowOff>
        </xdr:to>
        <xdr:sp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5804535" y="1583055"/>
              <a:ext cx="1259840" cy="680085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7</xdr:col>
      <xdr:colOff>604156</xdr:colOff>
      <xdr:row>16</xdr:row>
      <xdr:rowOff>132806</xdr:rowOff>
    </xdr:from>
    <xdr:to>
      <xdr:col>11</xdr:col>
      <xdr:colOff>584925</xdr:colOff>
      <xdr:row>21</xdr:row>
      <xdr:rowOff>92166</xdr:rowOff>
    </xdr:to>
    <xdr:sp>
      <xdr:nvSpPr>
        <xdr:cNvPr id="3" name="对话气泡: 矩形 2"/>
        <xdr:cNvSpPr/>
      </xdr:nvSpPr>
      <xdr:spPr>
        <a:xfrm>
          <a:off x="5148580" y="2947035"/>
          <a:ext cx="2500630" cy="838835"/>
        </a:xfrm>
        <a:prstGeom prst="wedgeRectCallout">
          <a:avLst>
            <a:gd name="adj1" fmla="val -369"/>
            <a:gd name="adj2" fmla="val -137514"/>
          </a:avLst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50">
              <a:solidFill>
                <a:srgbClr val="002060"/>
              </a:solidFill>
            </a:rPr>
            <a:t>点击该按钮将显示</a:t>
          </a:r>
          <a:r>
            <a:rPr lang="en-US" altLang="zh-CN" sz="1050">
              <a:solidFill>
                <a:srgbClr val="002060"/>
              </a:solidFill>
            </a:rPr>
            <a:t>Assignmens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Performance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Grade book</a:t>
          </a:r>
          <a:r>
            <a:rPr lang="zh-CN" altLang="en-US" sz="1050">
              <a:solidFill>
                <a:srgbClr val="002060"/>
              </a:solidFill>
            </a:rPr>
            <a:t>三个表中所有单元格的注释， 这些注释是说明如何填写相关内容的。</a:t>
          </a:r>
          <a:endParaRPr lang="zh-CN" altLang="en-US" sz="1050">
            <a:solidFill>
              <a:srgbClr val="002060"/>
            </a:solidFill>
          </a:endParaRPr>
        </a:p>
      </xdr:txBody>
    </xdr:sp>
    <xdr:clientData/>
  </xdr:twoCellAnchor>
  <xdr:twoCellAnchor>
    <xdr:from>
      <xdr:col>12</xdr:col>
      <xdr:colOff>307703</xdr:colOff>
      <xdr:row>15</xdr:row>
      <xdr:rowOff>169092</xdr:rowOff>
    </xdr:from>
    <xdr:to>
      <xdr:col>16</xdr:col>
      <xdr:colOff>338183</xdr:colOff>
      <xdr:row>20</xdr:row>
      <xdr:rowOff>128451</xdr:rowOff>
    </xdr:to>
    <xdr:sp>
      <xdr:nvSpPr>
        <xdr:cNvPr id="4" name="对话气泡: 矩形 3"/>
        <xdr:cNvSpPr/>
      </xdr:nvSpPr>
      <xdr:spPr>
        <a:xfrm>
          <a:off x="8001635" y="2807335"/>
          <a:ext cx="2550160" cy="838835"/>
        </a:xfrm>
        <a:prstGeom prst="wedgeRectCallout">
          <a:avLst>
            <a:gd name="adj1" fmla="val -40850"/>
            <a:gd name="adj2" fmla="val -136858"/>
          </a:avLst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50">
              <a:solidFill>
                <a:srgbClr val="002060"/>
              </a:solidFill>
            </a:rPr>
            <a:t>点击该按钮将隐藏</a:t>
          </a:r>
          <a:r>
            <a:rPr lang="en-US" altLang="zh-CN" sz="1050">
              <a:solidFill>
                <a:srgbClr val="002060"/>
              </a:solidFill>
            </a:rPr>
            <a:t>Assignmens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Performance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Grade book</a:t>
          </a:r>
          <a:r>
            <a:rPr lang="zh-CN" altLang="en-US" sz="1050">
              <a:solidFill>
                <a:srgbClr val="002060"/>
              </a:solidFill>
            </a:rPr>
            <a:t>三个表中所有单元格的注释，便于查看工作表内容。</a:t>
          </a:r>
          <a:endParaRPr lang="zh-CN" altLang="en-US" sz="1050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555171</xdr:colOff>
      <xdr:row>29</xdr:row>
      <xdr:rowOff>27708</xdr:rowOff>
    </xdr:to>
    <xdr:sp>
      <xdr:nvSpPr>
        <xdr:cNvPr id="5" name="文本框 4"/>
        <xdr:cNvSpPr txBox="1"/>
      </xdr:nvSpPr>
      <xdr:spPr>
        <a:xfrm>
          <a:off x="0" y="0"/>
          <a:ext cx="5099685" cy="512826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050" b="0">
              <a:latin typeface="华文中宋" panose="02010600040101010101" pitchFamily="2" charset="-122"/>
              <a:ea typeface="华文中宋" panose="02010600040101010101" pitchFamily="2" charset="-122"/>
            </a:rPr>
            <a:t>使用方法：</a:t>
          </a:r>
          <a:endParaRPr lang="en-US" altLang="zh-CN" sz="1050" b="0">
            <a:latin typeface="华文中宋" panose="02010600040101010101" pitchFamily="2" charset="-122"/>
            <a:ea typeface="华文中宋" panose="02010600040101010101" pitchFamily="2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特别重要：日期输入的时候请按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yyyy/m/d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的形式输入，比如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2025/3/5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，这样输入后，格式会自动变成 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5 Mar. 25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。日期一定一定要输入（如果没有发生考核或考试，那里的日期单元格，就留空白！），而且要正确的输入，否则取不到数据、生成不了正确的报告！！！</a:t>
          </a:r>
          <a:endParaRPr kumimoji="0" lang="en-US" altLang="zh-CN" sz="14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( Enter the date in the form of yyyy/mm/dd )</a:t>
          </a:r>
          <a:endParaRPr kumimoji="0" lang="zh-CN" altLang="en-US" sz="14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endParaRPr lang="en-US" altLang="zh-CN" sz="1050" b="0">
            <a:latin typeface="华文中宋" panose="02010600040101010101" pitchFamily="2" charset="-122"/>
            <a:ea typeface="华文中宋" panose="02010600040101010101" pitchFamily="2" charset="-122"/>
          </a:endParaRPr>
        </a:p>
        <a:p>
          <a:r>
            <a:rPr lang="en-US" altLang="zh-CN" sz="1050" b="0">
              <a:latin typeface="华文中宋" panose="02010600040101010101" pitchFamily="2" charset="-122"/>
              <a:ea typeface="华文中宋" panose="02010600040101010101" pitchFamily="2" charset="-122"/>
            </a:rPr>
            <a:t>1</a:t>
          </a:r>
          <a:r>
            <a:rPr lang="zh-CN" altLang="en-US" sz="1050" b="0">
              <a:latin typeface="华文中宋" panose="02010600040101010101" pitchFamily="2" charset="-122"/>
              <a:ea typeface="华文中宋" panose="02010600040101010101" pitchFamily="2" charset="-122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Assignmens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Performance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Grade book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这三个表里面，</a:t>
          </a:r>
          <a:r>
            <a:rPr lang="zh-CN" altLang="en-US" sz="1100" b="0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不允许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插入行或列，也不允许删除行或列！（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For ALL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 the sheets, please do NOT add or delete rows or columns. Doing that will change the integrated formula. You may change or clear the content of the cells.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Assignmens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Performance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Grade book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这三个工作表，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不能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改名字！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( For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 ALL the sheets, do NOT change the name of the sheets.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)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不导出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report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不需要读以下内容。 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Ignor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e the content below if you do not need to export the PDF version of students' report.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3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StudentSummaryReport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里有两处需要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手动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输入内容，请看工作表内注释！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4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、在各自的电脑上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新建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一个文件夹：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）在“我的电脑上”选择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D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盘，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b)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新建一个名为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我的文档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的文件夹，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c)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在“我的文档”这个文件夹下面新建一个名为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报告单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的文件夹；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5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、点击右边的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红色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按钮，稍等片刻（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分钟内），所有学生的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PDF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报告单都会在第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4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步新建的“报告单”文件夹中。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174170</xdr:rowOff>
    </xdr:from>
    <xdr:to>
      <xdr:col>5</xdr:col>
      <xdr:colOff>0</xdr:colOff>
      <xdr:row>3</xdr:row>
      <xdr:rowOff>40276</xdr:rowOff>
    </xdr:to>
    <xdr:sp>
      <xdr:nvSpPr>
        <xdr:cNvPr id="2" name="文本框 1"/>
        <xdr:cNvSpPr txBox="1"/>
      </xdr:nvSpPr>
      <xdr:spPr>
        <a:xfrm>
          <a:off x="0" y="173990"/>
          <a:ext cx="5955030" cy="4089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600" b="1">
              <a:solidFill>
                <a:srgbClr val="00206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西南大学附中国际课程中心 学科成绩报告单</a:t>
          </a:r>
          <a:endParaRPr lang="zh-CN" altLang="en-US" sz="1600" b="1">
            <a:solidFill>
              <a:srgbClr val="00206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4</xdr:row>
      <xdr:rowOff>41868</xdr:rowOff>
    </xdr:to>
    <xdr:pic>
      <xdr:nvPicPr>
        <xdr:cNvPr id="3" name="图片 2" descr="徽标, 公司名称&#10;&#10;AI 生成的内容可能不正确。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762000" cy="76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266701</xdr:colOff>
      <xdr:row>0</xdr:row>
      <xdr:rowOff>0</xdr:rowOff>
    </xdr:from>
    <xdr:to>
      <xdr:col>4</xdr:col>
      <xdr:colOff>657001</xdr:colOff>
      <xdr:row>4</xdr:row>
      <xdr:rowOff>105597</xdr:rowOff>
    </xdr:to>
    <xdr:pic>
      <xdr:nvPicPr>
        <xdr:cNvPr id="4" name="图片 3" descr="徽标&#10;&#10;AI 生成的内容可能不正确。"/>
        <xdr:cNvPicPr>
          <a:picLocks noChangeAspect="1" noChangeArrowheads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5073650" y="0"/>
          <a:ext cx="844550" cy="8293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</xdr:row>
      <xdr:rowOff>15240</xdr:rowOff>
    </xdr:from>
    <xdr:to>
      <xdr:col>2</xdr:col>
      <xdr:colOff>0</xdr:colOff>
      <xdr:row>5</xdr:row>
      <xdr:rowOff>15240</xdr:rowOff>
    </xdr:to>
    <xdr:sp>
      <xdr:nvSpPr>
        <xdr:cNvPr id="5" name="文本框 4"/>
        <xdr:cNvSpPr txBox="1"/>
      </xdr:nvSpPr>
      <xdr:spPr>
        <a:xfrm>
          <a:off x="1410970" y="558165"/>
          <a:ext cx="29495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600" b="1"/>
            <a:t>Course Report</a:t>
          </a:r>
          <a:endParaRPr lang="zh-CN" altLang="en-US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335280</xdr:colOff>
      <xdr:row>0</xdr:row>
      <xdr:rowOff>0</xdr:rowOff>
    </xdr:from>
    <xdr:to>
      <xdr:col>13</xdr:col>
      <xdr:colOff>600956</xdr:colOff>
      <xdr:row>30</xdr:row>
      <xdr:rowOff>37438</xdr:rowOff>
    </xdr:to>
    <xdr:pic>
      <xdr:nvPicPr>
        <xdr:cNvPr id="2" name="图片 1" descr="表格&#10;&#10;AI 生成的内容可能不正确。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35280" y="0"/>
          <a:ext cx="8660765" cy="53136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53"/>
  <sheetViews>
    <sheetView workbookViewId="0">
      <selection activeCell="C21" sqref="C21"/>
    </sheetView>
  </sheetViews>
  <sheetFormatPr defaultColWidth="8.7787610619469" defaultRowHeight="13.85"/>
  <cols>
    <col min="2" max="2" width="15.5575221238938" customWidth="1"/>
    <col min="3" max="3" width="17.4424778761062" customWidth="1"/>
    <col min="5" max="14" width="11.7787610619469" customWidth="1"/>
    <col min="15" max="15" width="17.4424778761062" customWidth="1"/>
  </cols>
  <sheetData>
    <row r="1" ht="13.9" spans="2:15">
      <c r="B1" s="71" t="s">
        <v>0</v>
      </c>
      <c r="C1" s="47"/>
      <c r="D1" s="47" t="s">
        <v>1</v>
      </c>
      <c r="E1" s="66">
        <v>45695</v>
      </c>
      <c r="F1" s="66">
        <v>45716</v>
      </c>
      <c r="G1" s="66"/>
      <c r="H1" s="66"/>
      <c r="I1" s="66"/>
      <c r="J1" s="66"/>
      <c r="K1" s="66"/>
      <c r="L1" s="66"/>
      <c r="M1" s="66"/>
      <c r="N1" s="66"/>
      <c r="O1" s="65"/>
    </row>
    <row r="2" ht="27.75" spans="1:15">
      <c r="A2" s="47" t="s">
        <v>2</v>
      </c>
      <c r="B2" s="47" t="s">
        <v>3</v>
      </c>
      <c r="C2" s="47" t="s">
        <v>4</v>
      </c>
      <c r="D2" s="47" t="s">
        <v>5</v>
      </c>
      <c r="E2" s="65" t="s">
        <v>6</v>
      </c>
      <c r="F2" s="65" t="s">
        <v>7</v>
      </c>
      <c r="G2" s="65" t="s">
        <v>8</v>
      </c>
      <c r="H2" s="65" t="s">
        <v>9</v>
      </c>
      <c r="I2" s="65" t="s">
        <v>10</v>
      </c>
      <c r="J2" s="65" t="s">
        <v>11</v>
      </c>
      <c r="K2" s="65" t="s">
        <v>12</v>
      </c>
      <c r="L2" s="65" t="s">
        <v>13</v>
      </c>
      <c r="M2" s="65" t="s">
        <v>14</v>
      </c>
      <c r="N2" s="65" t="s">
        <v>15</v>
      </c>
      <c r="O2" s="65" t="s">
        <v>16</v>
      </c>
    </row>
    <row r="3" ht="13.9" spans="1:15">
      <c r="A3" s="47"/>
      <c r="B3" s="47"/>
      <c r="C3" s="47"/>
      <c r="D3" s="47"/>
      <c r="E3" s="69" t="s">
        <v>17</v>
      </c>
      <c r="F3" s="65"/>
      <c r="G3" s="65"/>
      <c r="H3" s="65"/>
      <c r="I3" s="65"/>
      <c r="J3" s="65"/>
      <c r="K3" s="65"/>
      <c r="L3" s="65"/>
      <c r="M3" s="65"/>
      <c r="N3" s="65"/>
      <c r="O3" s="65"/>
    </row>
    <row r="4" ht="13.9" spans="1:15">
      <c r="A4" s="51"/>
      <c r="B4" s="52"/>
      <c r="C4" s="52"/>
      <c r="D4" s="52"/>
      <c r="E4" s="51"/>
      <c r="F4" s="51"/>
      <c r="G4" s="51"/>
      <c r="H4" s="51"/>
      <c r="I4" s="51"/>
      <c r="J4" s="51"/>
      <c r="K4" s="51"/>
      <c r="L4" s="51"/>
      <c r="M4" s="51"/>
      <c r="N4" s="51"/>
      <c r="O4" s="72" t="str">
        <f>IF(ISERROR(AVERAGE(E4:M4)),"",AVERAGE(E4:M4))</f>
        <v/>
      </c>
    </row>
    <row r="5" ht="13.9" spans="1:15">
      <c r="A5" s="51"/>
      <c r="B5" s="52"/>
      <c r="C5" s="52"/>
      <c r="D5" s="52"/>
      <c r="E5" s="51"/>
      <c r="F5" s="51"/>
      <c r="G5" s="51"/>
      <c r="H5" s="51"/>
      <c r="I5" s="51"/>
      <c r="J5" s="51"/>
      <c r="K5" s="51"/>
      <c r="L5" s="51"/>
      <c r="M5" s="51"/>
      <c r="N5" s="51"/>
      <c r="O5" s="72" t="str">
        <f t="shared" ref="O5:O53" si="0">IF(ISERROR(AVERAGE(E5:M5)),"",AVERAGE(E5:M5))</f>
        <v/>
      </c>
    </row>
    <row r="6" ht="13.9" spans="1:15">
      <c r="A6" s="51"/>
      <c r="B6" s="52"/>
      <c r="C6" s="52"/>
      <c r="D6" s="52"/>
      <c r="E6" s="51"/>
      <c r="F6" s="51"/>
      <c r="G6" s="51"/>
      <c r="H6" s="51"/>
      <c r="I6" s="51"/>
      <c r="J6" s="51"/>
      <c r="K6" s="51"/>
      <c r="L6" s="51"/>
      <c r="M6" s="51"/>
      <c r="N6" s="51"/>
      <c r="O6" s="72" t="str">
        <f t="shared" si="0"/>
        <v/>
      </c>
    </row>
    <row r="7" ht="13.9" spans="1:15">
      <c r="A7" s="51"/>
      <c r="B7" s="52"/>
      <c r="C7" s="52"/>
      <c r="D7" s="52"/>
      <c r="E7" s="51"/>
      <c r="F7" s="51"/>
      <c r="G7" s="51"/>
      <c r="H7" s="51"/>
      <c r="I7" s="51"/>
      <c r="J7" s="51"/>
      <c r="K7" s="51"/>
      <c r="L7" s="51"/>
      <c r="M7" s="51"/>
      <c r="N7" s="51"/>
      <c r="O7" s="72" t="str">
        <f t="shared" si="0"/>
        <v/>
      </c>
    </row>
    <row r="8" ht="13.9" spans="1:15">
      <c r="A8" s="51"/>
      <c r="B8" s="52"/>
      <c r="C8" s="52"/>
      <c r="D8" s="52"/>
      <c r="E8" s="51"/>
      <c r="F8" s="51"/>
      <c r="G8" s="51"/>
      <c r="H8" s="51"/>
      <c r="I8" s="51"/>
      <c r="J8" s="51"/>
      <c r="K8" s="51"/>
      <c r="L8" s="51"/>
      <c r="M8" s="51"/>
      <c r="N8" s="51"/>
      <c r="O8" s="72" t="str">
        <f t="shared" si="0"/>
        <v/>
      </c>
    </row>
    <row r="9" ht="13.9" spans="1:15">
      <c r="A9" s="51"/>
      <c r="B9" s="52"/>
      <c r="C9" s="52"/>
      <c r="D9" s="52"/>
      <c r="E9" s="51"/>
      <c r="F9" s="51"/>
      <c r="G9" s="51"/>
      <c r="H9" s="51"/>
      <c r="I9" s="51"/>
      <c r="J9" s="51"/>
      <c r="K9" s="51"/>
      <c r="L9" s="51"/>
      <c r="M9" s="51"/>
      <c r="N9" s="51"/>
      <c r="O9" s="72" t="str">
        <f t="shared" si="0"/>
        <v/>
      </c>
    </row>
    <row r="10" ht="13.9" spans="1:15">
      <c r="A10" s="51"/>
      <c r="B10" s="52"/>
      <c r="C10" s="52"/>
      <c r="D10" s="52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72" t="str">
        <f t="shared" si="0"/>
        <v/>
      </c>
    </row>
    <row r="11" ht="13.9" spans="1:15">
      <c r="A11" s="51"/>
      <c r="B11" s="52"/>
      <c r="C11" s="52"/>
      <c r="D11" s="52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72" t="str">
        <f t="shared" si="0"/>
        <v/>
      </c>
    </row>
    <row r="12" ht="13.9" spans="1:15">
      <c r="A12" s="51"/>
      <c r="B12" s="52"/>
      <c r="C12" s="52"/>
      <c r="D12" s="52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72" t="str">
        <f t="shared" si="0"/>
        <v/>
      </c>
    </row>
    <row r="13" ht="13.9" spans="1:15">
      <c r="A13" s="51"/>
      <c r="B13" s="52"/>
      <c r="C13" s="52"/>
      <c r="D13" s="52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72" t="str">
        <f t="shared" si="0"/>
        <v/>
      </c>
    </row>
    <row r="14" ht="13.9" spans="1:15">
      <c r="A14" s="51"/>
      <c r="B14" s="52"/>
      <c r="C14" s="52"/>
      <c r="D14" s="52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72" t="str">
        <f t="shared" si="0"/>
        <v/>
      </c>
    </row>
    <row r="15" ht="13.9" spans="1:15">
      <c r="A15" s="51"/>
      <c r="B15" s="52"/>
      <c r="C15" s="52"/>
      <c r="D15" s="52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72" t="str">
        <f t="shared" si="0"/>
        <v/>
      </c>
    </row>
    <row r="16" ht="13.9" spans="1:15">
      <c r="A16" s="51"/>
      <c r="B16" s="52"/>
      <c r="C16" s="52"/>
      <c r="D16" s="52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72" t="str">
        <f t="shared" si="0"/>
        <v/>
      </c>
    </row>
    <row r="17" ht="13.9" spans="1:15">
      <c r="A17" s="51"/>
      <c r="B17" s="52"/>
      <c r="C17" s="52"/>
      <c r="D17" s="52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72" t="str">
        <f t="shared" si="0"/>
        <v/>
      </c>
    </row>
    <row r="18" ht="13.9" spans="1:15">
      <c r="A18" s="51"/>
      <c r="B18" s="52"/>
      <c r="C18" s="52"/>
      <c r="D18" s="52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72" t="str">
        <f t="shared" si="0"/>
        <v/>
      </c>
    </row>
    <row r="19" ht="13.9" spans="1:15">
      <c r="A19" s="51"/>
      <c r="B19" s="52"/>
      <c r="C19" s="52"/>
      <c r="D19" s="52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72" t="str">
        <f t="shared" si="0"/>
        <v/>
      </c>
    </row>
    <row r="20" ht="13.9" spans="1:15">
      <c r="A20" s="51"/>
      <c r="B20" s="52"/>
      <c r="C20" s="52"/>
      <c r="D20" s="52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72" t="str">
        <f t="shared" si="0"/>
        <v/>
      </c>
    </row>
    <row r="21" ht="13.9" spans="1:15">
      <c r="A21" s="51"/>
      <c r="B21" s="52"/>
      <c r="C21" s="52"/>
      <c r="D21" s="52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72" t="str">
        <f t="shared" si="0"/>
        <v/>
      </c>
    </row>
    <row r="22" ht="13.9" spans="1:15">
      <c r="A22" s="51"/>
      <c r="B22" s="52"/>
      <c r="C22" s="52"/>
      <c r="D22" s="52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72" t="str">
        <f t="shared" si="0"/>
        <v/>
      </c>
    </row>
    <row r="23" ht="13.9" spans="1:15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72" t="str">
        <f t="shared" si="0"/>
        <v/>
      </c>
    </row>
    <row r="24" ht="13.9" spans="1:15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72" t="str">
        <f t="shared" si="0"/>
        <v/>
      </c>
    </row>
    <row r="25" ht="13.9" spans="1:15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72" t="str">
        <f t="shared" si="0"/>
        <v/>
      </c>
    </row>
    <row r="26" ht="13.9" spans="1:15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72" t="str">
        <f t="shared" si="0"/>
        <v/>
      </c>
    </row>
    <row r="27" ht="13.9" spans="1:15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72" t="str">
        <f t="shared" si="0"/>
        <v/>
      </c>
    </row>
    <row r="28" ht="13.9" spans="1:15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72" t="str">
        <f t="shared" si="0"/>
        <v/>
      </c>
    </row>
    <row r="29" ht="13.9" spans="1:15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72" t="str">
        <f t="shared" si="0"/>
        <v/>
      </c>
    </row>
    <row r="30" ht="13.9" spans="1:15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72" t="str">
        <f t="shared" si="0"/>
        <v/>
      </c>
    </row>
    <row r="31" ht="13.9" spans="1:15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72" t="str">
        <f t="shared" si="0"/>
        <v/>
      </c>
    </row>
    <row r="32" ht="13.9" spans="1:15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72" t="str">
        <f t="shared" si="0"/>
        <v/>
      </c>
    </row>
    <row r="33" ht="13.9" spans="1:15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72" t="str">
        <f t="shared" si="0"/>
        <v/>
      </c>
    </row>
    <row r="34" ht="13.9" spans="1:15">
      <c r="A34" s="51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72" t="str">
        <f t="shared" si="0"/>
        <v/>
      </c>
    </row>
    <row r="35" ht="13.9" spans="1:15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72" t="str">
        <f t="shared" si="0"/>
        <v/>
      </c>
    </row>
    <row r="36" ht="13.9" spans="1:15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72" t="str">
        <f t="shared" si="0"/>
        <v/>
      </c>
    </row>
    <row r="37" ht="13.9" spans="1:15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72" t="str">
        <f t="shared" si="0"/>
        <v/>
      </c>
    </row>
    <row r="38" ht="13.9" spans="1:15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72" t="str">
        <f t="shared" si="0"/>
        <v/>
      </c>
    </row>
    <row r="39" ht="13.9" spans="1:15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72" t="str">
        <f t="shared" si="0"/>
        <v/>
      </c>
    </row>
    <row r="40" ht="13.9" spans="1:15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72" t="str">
        <f t="shared" si="0"/>
        <v/>
      </c>
    </row>
    <row r="41" ht="13.9" spans="1:15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72" t="str">
        <f t="shared" si="0"/>
        <v/>
      </c>
    </row>
    <row r="42" ht="13.9" spans="1:15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72" t="str">
        <f t="shared" si="0"/>
        <v/>
      </c>
    </row>
    <row r="43" ht="13.9" spans="1:15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72" t="str">
        <f t="shared" si="0"/>
        <v/>
      </c>
    </row>
    <row r="44" ht="13.9" spans="1:15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72" t="str">
        <f t="shared" si="0"/>
        <v/>
      </c>
    </row>
    <row r="45" ht="13.9" spans="1:15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72" t="str">
        <f t="shared" si="0"/>
        <v/>
      </c>
    </row>
    <row r="46" ht="13.9" spans="1:15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72" t="str">
        <f t="shared" si="0"/>
        <v/>
      </c>
    </row>
    <row r="47" ht="13.9" spans="1:15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72" t="str">
        <f t="shared" si="0"/>
        <v/>
      </c>
    </row>
    <row r="48" ht="13.9" spans="1:15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72" t="str">
        <f t="shared" si="0"/>
        <v/>
      </c>
    </row>
    <row r="49" ht="13.9" spans="1:15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72" t="str">
        <f t="shared" si="0"/>
        <v/>
      </c>
    </row>
    <row r="50" ht="13.9" spans="1:15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72" t="str">
        <f t="shared" si="0"/>
        <v/>
      </c>
    </row>
    <row r="51" ht="13.9" spans="1:15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72" t="str">
        <f t="shared" si="0"/>
        <v/>
      </c>
    </row>
    <row r="52" ht="13.9" spans="1:15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72" t="str">
        <f t="shared" si="0"/>
        <v/>
      </c>
    </row>
    <row r="53" ht="13.9" spans="1:15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72" t="str">
        <f t="shared" si="0"/>
        <v/>
      </c>
    </row>
  </sheetData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X52"/>
  <sheetViews>
    <sheetView workbookViewId="0">
      <pane xSplit="4" ySplit="2" topLeftCell="K3" activePane="bottomRight" state="frozen"/>
      <selection/>
      <selection pane="topRight"/>
      <selection pane="bottomLeft"/>
      <selection pane="bottomRight" activeCell="A18" sqref="A18"/>
    </sheetView>
  </sheetViews>
  <sheetFormatPr defaultColWidth="8.7787610619469" defaultRowHeight="13.85"/>
  <cols>
    <col min="2" max="2" width="11.6637168141593" customWidth="1"/>
    <col min="3" max="3" width="16.7787610619469" customWidth="1"/>
    <col min="4" max="4" width="21.8849557522124" customWidth="1"/>
    <col min="5" max="5" width="11.3362831858407" customWidth="1"/>
    <col min="6" max="6" width="12.5575221238938" customWidth="1"/>
    <col min="7" max="7" width="11.4424778761062" customWidth="1"/>
    <col min="8" max="8" width="13.5575221238938" customWidth="1"/>
    <col min="9" max="9" width="10.6637168141593" customWidth="1"/>
    <col min="10" max="10" width="12.1061946902655" customWidth="1"/>
    <col min="11" max="11" width="11.1061946902655" customWidth="1"/>
    <col min="12" max="12" width="13.1061946902655" customWidth="1"/>
    <col min="13" max="13" width="14.6637168141593" customWidth="1"/>
    <col min="14" max="14" width="8.55752212389381" customWidth="1"/>
    <col min="15" max="15" width="12.1061946902655" customWidth="1"/>
    <col min="16" max="16" width="11.2212389380531" customWidth="1"/>
    <col min="17" max="17" width="12.1061946902655" customWidth="1"/>
    <col min="18" max="18" width="11.5575221238938" customWidth="1"/>
    <col min="19" max="19" width="12.1061946902655" customWidth="1"/>
    <col min="20" max="20" width="10.4424778761062" customWidth="1"/>
    <col min="21" max="21" width="12.1061946902655" customWidth="1"/>
    <col min="22" max="22" width="13.6637168141593" customWidth="1"/>
    <col min="23" max="23" width="11.6637168141593" customWidth="1"/>
    <col min="24" max="24" width="12.1061946902655" customWidth="1"/>
    <col min="25" max="25" width="11.5575221238938" customWidth="1"/>
    <col min="26" max="26" width="12.1061946902655" customWidth="1"/>
    <col min="27" max="27" width="11.2212389380531" customWidth="1"/>
    <col min="28" max="28" width="12.1061946902655" customWidth="1"/>
    <col min="29" max="29" width="11.2212389380531" customWidth="1"/>
    <col min="30" max="30" width="12.1061946902655" customWidth="1"/>
    <col min="31" max="31" width="13.6637168141593" customWidth="1"/>
    <col min="32" max="32" width="11.2212389380531" customWidth="1"/>
    <col min="33" max="33" width="12.1061946902655" customWidth="1"/>
    <col min="34" max="34" width="12.2212389380531" customWidth="1"/>
    <col min="35" max="35" width="12.1061946902655" customWidth="1"/>
    <col min="36" max="36" width="13.1061946902655" customWidth="1"/>
    <col min="37" max="37" width="12.1061946902655" customWidth="1"/>
    <col min="38" max="38" width="11" customWidth="1"/>
    <col min="39" max="39" width="12.1061946902655" customWidth="1"/>
    <col min="40" max="40" width="13.6637168141593" customWidth="1"/>
    <col min="41" max="41" width="11" customWidth="1"/>
    <col min="42" max="42" width="11.4424778761062" customWidth="1"/>
    <col min="43" max="43" width="11.1061946902655" customWidth="1"/>
    <col min="44" max="45" width="11.4424778761062" customWidth="1"/>
    <col min="46" max="46" width="12.1061946902655" customWidth="1"/>
    <col min="47" max="47" width="10.7787610619469" customWidth="1"/>
    <col min="48" max="48" width="13.8849557522124" customWidth="1"/>
    <col min="49" max="49" width="17.4424778761062" customWidth="1"/>
    <col min="50" max="50" width="13" customWidth="1"/>
  </cols>
  <sheetData>
    <row r="1" ht="13.9" spans="2:50">
      <c r="B1" s="47" t="s">
        <v>18</v>
      </c>
      <c r="C1" s="47"/>
      <c r="D1" s="47" t="s">
        <v>19</v>
      </c>
      <c r="E1" s="63">
        <v>1</v>
      </c>
      <c r="F1" s="64"/>
      <c r="G1" s="63">
        <v>2</v>
      </c>
      <c r="H1" s="64"/>
      <c r="I1" s="63">
        <v>3</v>
      </c>
      <c r="J1" s="64"/>
      <c r="K1" s="63">
        <v>4</v>
      </c>
      <c r="L1" s="64"/>
      <c r="M1" s="66">
        <v>45721</v>
      </c>
      <c r="N1" s="67">
        <v>5</v>
      </c>
      <c r="O1" s="68"/>
      <c r="P1" s="67">
        <v>6</v>
      </c>
      <c r="Q1" s="68"/>
      <c r="R1" s="67">
        <v>7</v>
      </c>
      <c r="S1" s="68"/>
      <c r="T1" s="67">
        <v>8</v>
      </c>
      <c r="U1" s="68"/>
      <c r="V1" s="66"/>
      <c r="W1" s="67">
        <v>9</v>
      </c>
      <c r="X1" s="68"/>
      <c r="Y1" s="67">
        <v>10</v>
      </c>
      <c r="Z1" s="68"/>
      <c r="AA1" s="67">
        <v>11</v>
      </c>
      <c r="AB1" s="68"/>
      <c r="AC1" s="67">
        <v>12</v>
      </c>
      <c r="AD1" s="68"/>
      <c r="AE1" s="66"/>
      <c r="AF1" s="67">
        <v>13</v>
      </c>
      <c r="AG1" s="68"/>
      <c r="AH1" s="67">
        <v>14</v>
      </c>
      <c r="AI1" s="68"/>
      <c r="AJ1" s="67">
        <v>15</v>
      </c>
      <c r="AK1" s="68"/>
      <c r="AL1" s="67">
        <v>16</v>
      </c>
      <c r="AM1" s="68"/>
      <c r="AN1" s="66"/>
      <c r="AO1" s="67">
        <v>17</v>
      </c>
      <c r="AP1" s="68"/>
      <c r="AQ1" s="67">
        <v>18</v>
      </c>
      <c r="AR1" s="68"/>
      <c r="AS1" s="67">
        <v>19</v>
      </c>
      <c r="AT1" s="68"/>
      <c r="AU1" s="67">
        <v>20</v>
      </c>
      <c r="AV1" s="68"/>
      <c r="AW1" s="66"/>
      <c r="AX1" s="65" t="s">
        <v>20</v>
      </c>
    </row>
    <row r="2" ht="27.75" spans="1:50">
      <c r="A2" s="47" t="s">
        <v>2</v>
      </c>
      <c r="B2" s="47" t="s">
        <v>3</v>
      </c>
      <c r="C2" s="47" t="s">
        <v>4</v>
      </c>
      <c r="D2" s="47" t="s">
        <v>5</v>
      </c>
      <c r="E2" s="65" t="s">
        <v>21</v>
      </c>
      <c r="F2" s="65" t="s">
        <v>22</v>
      </c>
      <c r="G2" s="65" t="s">
        <v>21</v>
      </c>
      <c r="H2" s="65" t="s">
        <v>22</v>
      </c>
      <c r="I2" s="65" t="s">
        <v>21</v>
      </c>
      <c r="J2" s="65" t="s">
        <v>22</v>
      </c>
      <c r="K2" s="65" t="s">
        <v>21</v>
      </c>
      <c r="L2" s="65" t="s">
        <v>22</v>
      </c>
      <c r="M2" s="69" t="s">
        <v>23</v>
      </c>
      <c r="N2" s="65" t="s">
        <v>21</v>
      </c>
      <c r="O2" s="65" t="s">
        <v>22</v>
      </c>
      <c r="P2" s="65" t="s">
        <v>21</v>
      </c>
      <c r="Q2" s="65" t="s">
        <v>22</v>
      </c>
      <c r="R2" s="65" t="s">
        <v>21</v>
      </c>
      <c r="S2" s="65" t="s">
        <v>22</v>
      </c>
      <c r="T2" s="65" t="s">
        <v>21</v>
      </c>
      <c r="U2" s="65" t="s">
        <v>22</v>
      </c>
      <c r="V2" s="69" t="s">
        <v>24</v>
      </c>
      <c r="W2" s="65" t="s">
        <v>21</v>
      </c>
      <c r="X2" s="65" t="s">
        <v>22</v>
      </c>
      <c r="Y2" s="65" t="s">
        <v>21</v>
      </c>
      <c r="Z2" s="65" t="s">
        <v>22</v>
      </c>
      <c r="AA2" s="65" t="s">
        <v>21</v>
      </c>
      <c r="AB2" s="65" t="s">
        <v>22</v>
      </c>
      <c r="AC2" s="65" t="s">
        <v>21</v>
      </c>
      <c r="AD2" s="65" t="s">
        <v>22</v>
      </c>
      <c r="AE2" s="69" t="s">
        <v>25</v>
      </c>
      <c r="AF2" s="65" t="s">
        <v>21</v>
      </c>
      <c r="AG2" s="65" t="s">
        <v>22</v>
      </c>
      <c r="AH2" s="65" t="s">
        <v>21</v>
      </c>
      <c r="AI2" s="65" t="s">
        <v>22</v>
      </c>
      <c r="AJ2" s="65" t="s">
        <v>21</v>
      </c>
      <c r="AK2" s="65" t="s">
        <v>22</v>
      </c>
      <c r="AL2" s="65" t="s">
        <v>21</v>
      </c>
      <c r="AM2" s="65" t="s">
        <v>22</v>
      </c>
      <c r="AN2" s="69" t="s">
        <v>26</v>
      </c>
      <c r="AO2" s="65" t="s">
        <v>21</v>
      </c>
      <c r="AP2" s="65" t="s">
        <v>22</v>
      </c>
      <c r="AQ2" s="65" t="s">
        <v>21</v>
      </c>
      <c r="AR2" s="65" t="s">
        <v>22</v>
      </c>
      <c r="AS2" s="65" t="s">
        <v>21</v>
      </c>
      <c r="AT2" s="65" t="s">
        <v>22</v>
      </c>
      <c r="AU2" s="65" t="s">
        <v>21</v>
      </c>
      <c r="AV2" s="65" t="s">
        <v>22</v>
      </c>
      <c r="AW2" s="69" t="s">
        <v>27</v>
      </c>
      <c r="AX2" s="69" t="s">
        <v>28</v>
      </c>
    </row>
    <row r="3" spans="1:50">
      <c r="A3" s="51"/>
      <c r="B3" s="52"/>
      <c r="C3" s="52"/>
      <c r="D3" s="52"/>
      <c r="E3" s="51">
        <v>100</v>
      </c>
      <c r="F3" s="51">
        <v>90</v>
      </c>
      <c r="G3" s="51"/>
      <c r="H3" s="51"/>
      <c r="I3" s="51"/>
      <c r="J3" s="51"/>
      <c r="K3" s="51"/>
      <c r="L3" s="51"/>
      <c r="M3" s="70">
        <f>IF(ISERROR(AVERAGE(E3:L3)),"",ROUNDUP(AVERAGE(E3:L3),0))</f>
        <v>95</v>
      </c>
      <c r="N3" s="51"/>
      <c r="O3" s="51"/>
      <c r="P3" s="51"/>
      <c r="Q3" s="51"/>
      <c r="R3" s="51"/>
      <c r="S3" s="51"/>
      <c r="T3" s="51"/>
      <c r="U3" s="51"/>
      <c r="V3" s="70" t="str">
        <f>IF(ISERROR(AVERAGE(N3:U3)),"",ROUNDUP(AVERAGE(N3:U3),0))</f>
        <v/>
      </c>
      <c r="W3" s="51"/>
      <c r="X3" s="51"/>
      <c r="Y3" s="51"/>
      <c r="Z3" s="51"/>
      <c r="AA3" s="51"/>
      <c r="AB3" s="51"/>
      <c r="AC3" s="51"/>
      <c r="AD3" s="51"/>
      <c r="AE3" s="70" t="str">
        <f>IF(ISERROR(AVERAGE(W3:AD3)),"",ROUNDUP(AVERAGE(W3:AD3),0))</f>
        <v/>
      </c>
      <c r="AF3" s="51"/>
      <c r="AG3" s="51"/>
      <c r="AH3" s="51"/>
      <c r="AI3" s="51"/>
      <c r="AJ3" s="51"/>
      <c r="AK3" s="51"/>
      <c r="AL3" s="51"/>
      <c r="AM3" s="51"/>
      <c r="AN3" s="70" t="str">
        <f>IF(ISERROR(AVERAGE(AF3:AM3)),"",ROUNDUP(AVERAGE(AF3:AM3),0))</f>
        <v/>
      </c>
      <c r="AO3" s="51"/>
      <c r="AP3" s="51"/>
      <c r="AQ3" s="51"/>
      <c r="AR3" s="51"/>
      <c r="AS3" s="51"/>
      <c r="AT3" s="51"/>
      <c r="AU3" s="51"/>
      <c r="AV3" s="51"/>
      <c r="AW3" s="70" t="str">
        <f>IF(ISERROR(AVERAGE(AO3:AV3)),"",ROUNDUP(AVERAGE(AO3:AV3),0))</f>
        <v/>
      </c>
      <c r="AX3" s="70">
        <f>IF(ISERROR(ROUNDUP(AVERAGE(M3,V3,AE3,AN3,AW3),0)),"",ROUNDUP(AVERAGE(M3,V3,AE3,AN3,AW3),0))</f>
        <v>95</v>
      </c>
    </row>
    <row r="4" spans="1:50">
      <c r="A4" s="51"/>
      <c r="B4" s="52"/>
      <c r="C4" s="52"/>
      <c r="D4" s="52"/>
      <c r="E4" s="51">
        <v>100</v>
      </c>
      <c r="F4" s="51">
        <v>90</v>
      </c>
      <c r="G4" s="51"/>
      <c r="H4" s="51"/>
      <c r="I4" s="51"/>
      <c r="J4" s="51"/>
      <c r="K4" s="51"/>
      <c r="L4" s="51"/>
      <c r="M4" s="70">
        <f t="shared" ref="M4:M52" si="0">IF(ISERROR(AVERAGE(E4:L4)),"",ROUNDUP(AVERAGE(E4:L4),0))</f>
        <v>95</v>
      </c>
      <c r="N4" s="51"/>
      <c r="O4" s="51"/>
      <c r="P4" s="51"/>
      <c r="Q4" s="51"/>
      <c r="R4" s="51"/>
      <c r="S4" s="51"/>
      <c r="T4" s="51"/>
      <c r="U4" s="51"/>
      <c r="V4" s="70" t="str">
        <f t="shared" ref="V4:V52" si="1">IF(ISERROR(AVERAGE(N4:U4)),"",ROUNDUP(AVERAGE(N4:U4),0))</f>
        <v/>
      </c>
      <c r="W4" s="51"/>
      <c r="X4" s="51"/>
      <c r="Y4" s="51"/>
      <c r="Z4" s="51"/>
      <c r="AA4" s="51"/>
      <c r="AB4" s="51"/>
      <c r="AC4" s="51"/>
      <c r="AD4" s="51"/>
      <c r="AE4" s="70" t="str">
        <f t="shared" ref="AE4:AE52" si="2">IF(ISERROR(AVERAGE(W4:AD4)),"",ROUNDUP(AVERAGE(W4:AD4),0))</f>
        <v/>
      </c>
      <c r="AF4" s="51"/>
      <c r="AG4" s="51"/>
      <c r="AH4" s="51"/>
      <c r="AI4" s="51"/>
      <c r="AJ4" s="51"/>
      <c r="AK4" s="51"/>
      <c r="AL4" s="51"/>
      <c r="AM4" s="51"/>
      <c r="AN4" s="70" t="str">
        <f t="shared" ref="AN4:AN52" si="3">IF(ISERROR(AVERAGE(AF4:AM4)),"",ROUNDUP(AVERAGE(AF4:AM4),0))</f>
        <v/>
      </c>
      <c r="AO4" s="51"/>
      <c r="AP4" s="51"/>
      <c r="AQ4" s="51"/>
      <c r="AR4" s="51"/>
      <c r="AS4" s="51"/>
      <c r="AT4" s="51"/>
      <c r="AU4" s="51"/>
      <c r="AV4" s="51"/>
      <c r="AW4" s="70" t="str">
        <f t="shared" ref="AW4:AW52" si="4">IF(ISERROR(AVERAGE(AO4:AV4)),"",ROUNDUP(AVERAGE(AO4:AV4),0))</f>
        <v/>
      </c>
      <c r="AX4" s="70">
        <f t="shared" ref="AX4:AX52" si="5">IF(ISERROR(ROUNDUP(AVERAGE(M4,V4,AE4,AN4,AW4),0)),"",ROUNDUP(AVERAGE(M4,V4,AE4,AN4,AW4),0))</f>
        <v>95</v>
      </c>
    </row>
    <row r="5" spans="1:50">
      <c r="A5" s="51"/>
      <c r="B5" s="52"/>
      <c r="C5" s="52"/>
      <c r="D5" s="52"/>
      <c r="E5" s="51">
        <v>100</v>
      </c>
      <c r="F5" s="51">
        <v>90</v>
      </c>
      <c r="G5" s="51"/>
      <c r="H5" s="51"/>
      <c r="I5" s="51"/>
      <c r="J5" s="51"/>
      <c r="K5" s="51"/>
      <c r="L5" s="51"/>
      <c r="M5" s="70">
        <f t="shared" si="0"/>
        <v>95</v>
      </c>
      <c r="N5" s="51"/>
      <c r="O5" s="51"/>
      <c r="P5" s="51"/>
      <c r="Q5" s="51"/>
      <c r="R5" s="51"/>
      <c r="S5" s="51"/>
      <c r="T5" s="51"/>
      <c r="U5" s="51"/>
      <c r="V5" s="70" t="str">
        <f t="shared" si="1"/>
        <v/>
      </c>
      <c r="W5" s="51"/>
      <c r="X5" s="51"/>
      <c r="Y5" s="51"/>
      <c r="Z5" s="51"/>
      <c r="AA5" s="51"/>
      <c r="AB5" s="51"/>
      <c r="AC5" s="51"/>
      <c r="AD5" s="51"/>
      <c r="AE5" s="70" t="str">
        <f t="shared" si="2"/>
        <v/>
      </c>
      <c r="AF5" s="51"/>
      <c r="AG5" s="51"/>
      <c r="AH5" s="51"/>
      <c r="AI5" s="51"/>
      <c r="AJ5" s="51"/>
      <c r="AK5" s="51"/>
      <c r="AL5" s="51"/>
      <c r="AM5" s="51"/>
      <c r="AN5" s="70" t="str">
        <f t="shared" si="3"/>
        <v/>
      </c>
      <c r="AO5" s="51"/>
      <c r="AP5" s="51"/>
      <c r="AQ5" s="51"/>
      <c r="AR5" s="51"/>
      <c r="AS5" s="51"/>
      <c r="AT5" s="51"/>
      <c r="AU5" s="51"/>
      <c r="AV5" s="51"/>
      <c r="AW5" s="70" t="str">
        <f t="shared" si="4"/>
        <v/>
      </c>
      <c r="AX5" s="70">
        <f t="shared" si="5"/>
        <v>95</v>
      </c>
    </row>
    <row r="6" spans="1:50">
      <c r="A6" s="51"/>
      <c r="B6" s="52"/>
      <c r="C6" s="52"/>
      <c r="D6" s="52"/>
      <c r="E6" s="51">
        <v>100</v>
      </c>
      <c r="F6" s="51">
        <v>90</v>
      </c>
      <c r="G6" s="51"/>
      <c r="H6" s="51"/>
      <c r="I6" s="51"/>
      <c r="J6" s="51"/>
      <c r="K6" s="51"/>
      <c r="L6" s="51"/>
      <c r="M6" s="70">
        <f t="shared" si="0"/>
        <v>95</v>
      </c>
      <c r="N6" s="51"/>
      <c r="O6" s="51"/>
      <c r="P6" s="51"/>
      <c r="Q6" s="51"/>
      <c r="R6" s="51"/>
      <c r="S6" s="51"/>
      <c r="T6" s="51"/>
      <c r="U6" s="51"/>
      <c r="V6" s="70" t="str">
        <f t="shared" si="1"/>
        <v/>
      </c>
      <c r="W6" s="51"/>
      <c r="X6" s="51"/>
      <c r="Y6" s="51"/>
      <c r="Z6" s="51"/>
      <c r="AA6" s="51"/>
      <c r="AB6" s="51"/>
      <c r="AC6" s="51"/>
      <c r="AD6" s="51"/>
      <c r="AE6" s="70" t="str">
        <f t="shared" si="2"/>
        <v/>
      </c>
      <c r="AF6" s="51"/>
      <c r="AG6" s="51"/>
      <c r="AH6" s="51"/>
      <c r="AI6" s="51"/>
      <c r="AJ6" s="51"/>
      <c r="AK6" s="51"/>
      <c r="AL6" s="51"/>
      <c r="AM6" s="51"/>
      <c r="AN6" s="70" t="str">
        <f t="shared" si="3"/>
        <v/>
      </c>
      <c r="AO6" s="51"/>
      <c r="AP6" s="51"/>
      <c r="AQ6" s="51"/>
      <c r="AR6" s="51"/>
      <c r="AS6" s="51"/>
      <c r="AT6" s="51"/>
      <c r="AU6" s="51"/>
      <c r="AV6" s="51"/>
      <c r="AW6" s="70" t="str">
        <f t="shared" si="4"/>
        <v/>
      </c>
      <c r="AX6" s="70">
        <f t="shared" si="5"/>
        <v>95</v>
      </c>
    </row>
    <row r="7" spans="1:50">
      <c r="A7" s="51"/>
      <c r="B7" s="52"/>
      <c r="C7" s="52"/>
      <c r="D7" s="52"/>
      <c r="E7" s="51">
        <v>100</v>
      </c>
      <c r="F7" s="51">
        <v>90</v>
      </c>
      <c r="G7" s="51"/>
      <c r="H7" s="51"/>
      <c r="I7" s="51"/>
      <c r="J7" s="51"/>
      <c r="K7" s="51"/>
      <c r="L7" s="51"/>
      <c r="M7" s="70">
        <f t="shared" si="0"/>
        <v>95</v>
      </c>
      <c r="N7" s="51"/>
      <c r="O7" s="51"/>
      <c r="P7" s="51"/>
      <c r="Q7" s="51"/>
      <c r="R7" s="51"/>
      <c r="S7" s="51"/>
      <c r="T7" s="51"/>
      <c r="U7" s="51"/>
      <c r="V7" s="70" t="str">
        <f t="shared" si="1"/>
        <v/>
      </c>
      <c r="W7" s="51"/>
      <c r="X7" s="51"/>
      <c r="Y7" s="51"/>
      <c r="Z7" s="51"/>
      <c r="AA7" s="51"/>
      <c r="AB7" s="51"/>
      <c r="AC7" s="51"/>
      <c r="AD7" s="51"/>
      <c r="AE7" s="70" t="str">
        <f t="shared" si="2"/>
        <v/>
      </c>
      <c r="AF7" s="51"/>
      <c r="AG7" s="51"/>
      <c r="AH7" s="51"/>
      <c r="AI7" s="51"/>
      <c r="AJ7" s="51"/>
      <c r="AK7" s="51"/>
      <c r="AL7" s="51"/>
      <c r="AM7" s="51"/>
      <c r="AN7" s="70" t="str">
        <f t="shared" si="3"/>
        <v/>
      </c>
      <c r="AO7" s="51"/>
      <c r="AP7" s="51"/>
      <c r="AQ7" s="51"/>
      <c r="AR7" s="51"/>
      <c r="AS7" s="51"/>
      <c r="AT7" s="51"/>
      <c r="AU7" s="51"/>
      <c r="AV7" s="51"/>
      <c r="AW7" s="70" t="str">
        <f t="shared" si="4"/>
        <v/>
      </c>
      <c r="AX7" s="70">
        <f t="shared" si="5"/>
        <v>95</v>
      </c>
    </row>
    <row r="8" spans="1:50">
      <c r="A8" s="51"/>
      <c r="B8" s="52"/>
      <c r="C8" s="52"/>
      <c r="D8" s="52"/>
      <c r="E8" s="51">
        <v>100</v>
      </c>
      <c r="F8" s="51">
        <v>90</v>
      </c>
      <c r="G8" s="51"/>
      <c r="H8" s="51"/>
      <c r="I8" s="51"/>
      <c r="J8" s="51"/>
      <c r="K8" s="51"/>
      <c r="L8" s="51"/>
      <c r="M8" s="70">
        <f t="shared" si="0"/>
        <v>95</v>
      </c>
      <c r="N8" s="51"/>
      <c r="O8" s="51"/>
      <c r="P8" s="51"/>
      <c r="Q8" s="51"/>
      <c r="R8" s="51"/>
      <c r="S8" s="51"/>
      <c r="T8" s="51"/>
      <c r="U8" s="51"/>
      <c r="V8" s="70" t="str">
        <f t="shared" si="1"/>
        <v/>
      </c>
      <c r="W8" s="51"/>
      <c r="X8" s="51"/>
      <c r="Y8" s="51"/>
      <c r="Z8" s="51"/>
      <c r="AA8" s="51"/>
      <c r="AB8" s="51"/>
      <c r="AC8" s="51"/>
      <c r="AD8" s="51"/>
      <c r="AE8" s="70" t="str">
        <f t="shared" si="2"/>
        <v/>
      </c>
      <c r="AF8" s="51"/>
      <c r="AG8" s="51"/>
      <c r="AH8" s="51"/>
      <c r="AI8" s="51"/>
      <c r="AJ8" s="51"/>
      <c r="AK8" s="51"/>
      <c r="AL8" s="51"/>
      <c r="AM8" s="51"/>
      <c r="AN8" s="70" t="str">
        <f t="shared" si="3"/>
        <v/>
      </c>
      <c r="AO8" s="51"/>
      <c r="AP8" s="51"/>
      <c r="AQ8" s="51"/>
      <c r="AR8" s="51"/>
      <c r="AS8" s="51"/>
      <c r="AT8" s="51"/>
      <c r="AU8" s="51"/>
      <c r="AV8" s="51"/>
      <c r="AW8" s="70" t="str">
        <f t="shared" si="4"/>
        <v/>
      </c>
      <c r="AX8" s="70">
        <f t="shared" si="5"/>
        <v>95</v>
      </c>
    </row>
    <row r="9" spans="1:50">
      <c r="A9" s="51"/>
      <c r="B9" s="52"/>
      <c r="C9" s="52"/>
      <c r="D9" s="52"/>
      <c r="E9" s="51">
        <v>100</v>
      </c>
      <c r="F9" s="51">
        <v>90</v>
      </c>
      <c r="G9" s="51"/>
      <c r="H9" s="51"/>
      <c r="I9" s="51"/>
      <c r="J9" s="51"/>
      <c r="K9" s="51"/>
      <c r="L9" s="51"/>
      <c r="M9" s="70">
        <f t="shared" si="0"/>
        <v>95</v>
      </c>
      <c r="N9" s="51"/>
      <c r="O9" s="51"/>
      <c r="P9" s="51"/>
      <c r="Q9" s="51"/>
      <c r="R9" s="51"/>
      <c r="S9" s="51"/>
      <c r="T9" s="51"/>
      <c r="U9" s="51"/>
      <c r="V9" s="70" t="str">
        <f t="shared" si="1"/>
        <v/>
      </c>
      <c r="W9" s="51"/>
      <c r="X9" s="51"/>
      <c r="Y9" s="51"/>
      <c r="Z9" s="51"/>
      <c r="AA9" s="51"/>
      <c r="AB9" s="51"/>
      <c r="AC9" s="51"/>
      <c r="AD9" s="51"/>
      <c r="AE9" s="70" t="str">
        <f t="shared" si="2"/>
        <v/>
      </c>
      <c r="AF9" s="51"/>
      <c r="AG9" s="51"/>
      <c r="AH9" s="51"/>
      <c r="AI9" s="51"/>
      <c r="AJ9" s="51"/>
      <c r="AK9" s="51"/>
      <c r="AL9" s="51"/>
      <c r="AM9" s="51"/>
      <c r="AN9" s="70" t="str">
        <f t="shared" si="3"/>
        <v/>
      </c>
      <c r="AO9" s="51"/>
      <c r="AP9" s="51"/>
      <c r="AQ9" s="51"/>
      <c r="AR9" s="51"/>
      <c r="AS9" s="51"/>
      <c r="AT9" s="51"/>
      <c r="AU9" s="51"/>
      <c r="AV9" s="51"/>
      <c r="AW9" s="70" t="str">
        <f t="shared" si="4"/>
        <v/>
      </c>
      <c r="AX9" s="70">
        <f t="shared" si="5"/>
        <v>95</v>
      </c>
    </row>
    <row r="10" spans="1:50">
      <c r="A10" s="51"/>
      <c r="B10" s="52"/>
      <c r="C10" s="52"/>
      <c r="D10" s="52"/>
      <c r="E10" s="51">
        <v>100</v>
      </c>
      <c r="F10" s="51">
        <v>90</v>
      </c>
      <c r="G10" s="51"/>
      <c r="H10" s="51"/>
      <c r="I10" s="51"/>
      <c r="J10" s="51"/>
      <c r="K10" s="51"/>
      <c r="L10" s="51"/>
      <c r="M10" s="70">
        <f t="shared" si="0"/>
        <v>95</v>
      </c>
      <c r="N10" s="51"/>
      <c r="O10" s="51"/>
      <c r="P10" s="51"/>
      <c r="Q10" s="51"/>
      <c r="R10" s="51"/>
      <c r="S10" s="51"/>
      <c r="T10" s="51"/>
      <c r="U10" s="51"/>
      <c r="V10" s="70" t="str">
        <f t="shared" si="1"/>
        <v/>
      </c>
      <c r="W10" s="51"/>
      <c r="X10" s="51"/>
      <c r="Y10" s="51"/>
      <c r="Z10" s="51"/>
      <c r="AA10" s="51"/>
      <c r="AB10" s="51"/>
      <c r="AC10" s="51"/>
      <c r="AD10" s="51"/>
      <c r="AE10" s="70" t="str">
        <f t="shared" si="2"/>
        <v/>
      </c>
      <c r="AF10" s="51"/>
      <c r="AG10" s="51"/>
      <c r="AH10" s="51"/>
      <c r="AI10" s="51"/>
      <c r="AJ10" s="51"/>
      <c r="AK10" s="51"/>
      <c r="AL10" s="51"/>
      <c r="AM10" s="51"/>
      <c r="AN10" s="70" t="str">
        <f t="shared" si="3"/>
        <v/>
      </c>
      <c r="AO10" s="51"/>
      <c r="AP10" s="51"/>
      <c r="AQ10" s="51"/>
      <c r="AR10" s="51"/>
      <c r="AS10" s="51"/>
      <c r="AT10" s="51"/>
      <c r="AU10" s="51"/>
      <c r="AV10" s="51"/>
      <c r="AW10" s="70" t="str">
        <f t="shared" si="4"/>
        <v/>
      </c>
      <c r="AX10" s="70">
        <f t="shared" si="5"/>
        <v>95</v>
      </c>
    </row>
    <row r="11" spans="1:50">
      <c r="A11" s="51"/>
      <c r="B11" s="52"/>
      <c r="C11" s="52"/>
      <c r="D11" s="52"/>
      <c r="E11" s="51">
        <v>100</v>
      </c>
      <c r="F11" s="51">
        <v>90</v>
      </c>
      <c r="G11" s="51"/>
      <c r="H11" s="51"/>
      <c r="I11" s="51"/>
      <c r="J11" s="51"/>
      <c r="K11" s="51"/>
      <c r="L11" s="51"/>
      <c r="M11" s="70">
        <f t="shared" si="0"/>
        <v>95</v>
      </c>
      <c r="N11" s="51"/>
      <c r="O11" s="51"/>
      <c r="P11" s="51"/>
      <c r="Q11" s="51"/>
      <c r="R11" s="51"/>
      <c r="S11" s="51"/>
      <c r="T11" s="51"/>
      <c r="U11" s="51"/>
      <c r="V11" s="70" t="str">
        <f t="shared" si="1"/>
        <v/>
      </c>
      <c r="W11" s="51"/>
      <c r="X11" s="51"/>
      <c r="Y11" s="51"/>
      <c r="Z11" s="51"/>
      <c r="AA11" s="51"/>
      <c r="AB11" s="51"/>
      <c r="AC11" s="51"/>
      <c r="AD11" s="51"/>
      <c r="AE11" s="70" t="str">
        <f t="shared" si="2"/>
        <v/>
      </c>
      <c r="AF11" s="51"/>
      <c r="AG11" s="51"/>
      <c r="AH11" s="51"/>
      <c r="AI11" s="51"/>
      <c r="AJ11" s="51"/>
      <c r="AK11" s="51"/>
      <c r="AL11" s="51"/>
      <c r="AM11" s="51"/>
      <c r="AN11" s="70" t="str">
        <f t="shared" si="3"/>
        <v/>
      </c>
      <c r="AO11" s="51"/>
      <c r="AP11" s="51"/>
      <c r="AQ11" s="51"/>
      <c r="AR11" s="51"/>
      <c r="AS11" s="51"/>
      <c r="AT11" s="51"/>
      <c r="AU11" s="51"/>
      <c r="AV11" s="51"/>
      <c r="AW11" s="70" t="str">
        <f t="shared" si="4"/>
        <v/>
      </c>
      <c r="AX11" s="70">
        <f t="shared" si="5"/>
        <v>95</v>
      </c>
    </row>
    <row r="12" spans="1:50">
      <c r="A12" s="51"/>
      <c r="B12" s="52"/>
      <c r="C12" s="52"/>
      <c r="D12" s="52"/>
      <c r="E12" s="51">
        <v>100</v>
      </c>
      <c r="F12" s="51">
        <v>90</v>
      </c>
      <c r="G12" s="51"/>
      <c r="H12" s="51"/>
      <c r="I12" s="51"/>
      <c r="J12" s="51"/>
      <c r="K12" s="51"/>
      <c r="L12" s="51"/>
      <c r="M12" s="70">
        <f t="shared" si="0"/>
        <v>95</v>
      </c>
      <c r="N12" s="51"/>
      <c r="O12" s="51"/>
      <c r="P12" s="51"/>
      <c r="Q12" s="51"/>
      <c r="R12" s="51"/>
      <c r="S12" s="51"/>
      <c r="T12" s="51"/>
      <c r="U12" s="51"/>
      <c r="V12" s="70" t="str">
        <f t="shared" si="1"/>
        <v/>
      </c>
      <c r="W12" s="51"/>
      <c r="X12" s="51"/>
      <c r="Y12" s="51"/>
      <c r="Z12" s="51"/>
      <c r="AA12" s="51"/>
      <c r="AB12" s="51"/>
      <c r="AC12" s="51"/>
      <c r="AD12" s="51"/>
      <c r="AE12" s="70" t="str">
        <f t="shared" si="2"/>
        <v/>
      </c>
      <c r="AF12" s="51"/>
      <c r="AG12" s="51"/>
      <c r="AH12" s="51"/>
      <c r="AI12" s="51"/>
      <c r="AJ12" s="51"/>
      <c r="AK12" s="51"/>
      <c r="AL12" s="51"/>
      <c r="AM12" s="51"/>
      <c r="AN12" s="70" t="str">
        <f t="shared" si="3"/>
        <v/>
      </c>
      <c r="AO12" s="51"/>
      <c r="AP12" s="51"/>
      <c r="AQ12" s="51"/>
      <c r="AR12" s="51"/>
      <c r="AS12" s="51"/>
      <c r="AT12" s="51"/>
      <c r="AU12" s="51"/>
      <c r="AV12" s="51"/>
      <c r="AW12" s="70" t="str">
        <f t="shared" si="4"/>
        <v/>
      </c>
      <c r="AX12" s="70">
        <f t="shared" si="5"/>
        <v>95</v>
      </c>
    </row>
    <row r="13" spans="1:50">
      <c r="A13" s="51"/>
      <c r="B13" s="52"/>
      <c r="C13" s="52"/>
      <c r="D13" s="52"/>
      <c r="E13" s="51"/>
      <c r="F13" s="51"/>
      <c r="G13" s="51"/>
      <c r="H13" s="51"/>
      <c r="I13" s="51"/>
      <c r="J13" s="51"/>
      <c r="K13" s="51"/>
      <c r="L13" s="51"/>
      <c r="M13" s="70" t="str">
        <f t="shared" si="0"/>
        <v/>
      </c>
      <c r="N13" s="51"/>
      <c r="O13" s="51"/>
      <c r="P13" s="51"/>
      <c r="Q13" s="51"/>
      <c r="R13" s="51"/>
      <c r="S13" s="51"/>
      <c r="T13" s="51"/>
      <c r="U13" s="51"/>
      <c r="V13" s="70" t="str">
        <f t="shared" si="1"/>
        <v/>
      </c>
      <c r="W13" s="51"/>
      <c r="X13" s="51"/>
      <c r="Y13" s="51"/>
      <c r="Z13" s="51"/>
      <c r="AA13" s="51"/>
      <c r="AB13" s="51"/>
      <c r="AC13" s="51"/>
      <c r="AD13" s="51"/>
      <c r="AE13" s="70" t="str">
        <f t="shared" si="2"/>
        <v/>
      </c>
      <c r="AF13" s="51"/>
      <c r="AG13" s="51"/>
      <c r="AH13" s="51"/>
      <c r="AI13" s="51"/>
      <c r="AJ13" s="51"/>
      <c r="AK13" s="51"/>
      <c r="AL13" s="51"/>
      <c r="AM13" s="51"/>
      <c r="AN13" s="70" t="str">
        <f t="shared" si="3"/>
        <v/>
      </c>
      <c r="AO13" s="51"/>
      <c r="AP13" s="51"/>
      <c r="AQ13" s="51"/>
      <c r="AR13" s="51"/>
      <c r="AS13" s="51"/>
      <c r="AT13" s="51"/>
      <c r="AU13" s="51"/>
      <c r="AV13" s="51"/>
      <c r="AW13" s="70" t="str">
        <f t="shared" si="4"/>
        <v/>
      </c>
      <c r="AX13" s="70" t="str">
        <f t="shared" si="5"/>
        <v/>
      </c>
    </row>
    <row r="14" spans="1:50">
      <c r="A14" s="51"/>
      <c r="B14" s="52"/>
      <c r="C14" s="52"/>
      <c r="D14" s="52"/>
      <c r="E14" s="51"/>
      <c r="F14" s="51"/>
      <c r="G14" s="51"/>
      <c r="H14" s="51"/>
      <c r="I14" s="51"/>
      <c r="J14" s="51"/>
      <c r="K14" s="51"/>
      <c r="L14" s="51"/>
      <c r="M14" s="70" t="str">
        <f t="shared" si="0"/>
        <v/>
      </c>
      <c r="N14" s="51"/>
      <c r="O14" s="51"/>
      <c r="P14" s="51"/>
      <c r="Q14" s="51"/>
      <c r="R14" s="51"/>
      <c r="S14" s="51"/>
      <c r="T14" s="51"/>
      <c r="U14" s="51"/>
      <c r="V14" s="70" t="str">
        <f t="shared" si="1"/>
        <v/>
      </c>
      <c r="W14" s="51"/>
      <c r="X14" s="51"/>
      <c r="Y14" s="51"/>
      <c r="Z14" s="51"/>
      <c r="AA14" s="51"/>
      <c r="AB14" s="51"/>
      <c r="AC14" s="51"/>
      <c r="AD14" s="51"/>
      <c r="AE14" s="70" t="str">
        <f t="shared" si="2"/>
        <v/>
      </c>
      <c r="AF14" s="51"/>
      <c r="AG14" s="51"/>
      <c r="AH14" s="51"/>
      <c r="AI14" s="51"/>
      <c r="AJ14" s="51"/>
      <c r="AK14" s="51"/>
      <c r="AL14" s="51"/>
      <c r="AM14" s="51"/>
      <c r="AN14" s="70" t="str">
        <f t="shared" si="3"/>
        <v/>
      </c>
      <c r="AO14" s="51"/>
      <c r="AP14" s="51"/>
      <c r="AQ14" s="51"/>
      <c r="AR14" s="51"/>
      <c r="AS14" s="51"/>
      <c r="AT14" s="51"/>
      <c r="AU14" s="51"/>
      <c r="AV14" s="51"/>
      <c r="AW14" s="70" t="str">
        <f t="shared" si="4"/>
        <v/>
      </c>
      <c r="AX14" s="70" t="str">
        <f t="shared" si="5"/>
        <v/>
      </c>
    </row>
    <row r="15" spans="1:50">
      <c r="A15" s="51"/>
      <c r="B15" s="52"/>
      <c r="C15" s="52"/>
      <c r="D15" s="52"/>
      <c r="E15" s="51"/>
      <c r="F15" s="51"/>
      <c r="G15" s="51"/>
      <c r="H15" s="51"/>
      <c r="I15" s="51"/>
      <c r="J15" s="51"/>
      <c r="K15" s="51"/>
      <c r="L15" s="51"/>
      <c r="M15" s="70" t="str">
        <f t="shared" si="0"/>
        <v/>
      </c>
      <c r="N15" s="51"/>
      <c r="O15" s="51"/>
      <c r="P15" s="51"/>
      <c r="Q15" s="51"/>
      <c r="R15" s="51"/>
      <c r="S15" s="51"/>
      <c r="T15" s="51"/>
      <c r="U15" s="51"/>
      <c r="V15" s="70" t="str">
        <f t="shared" si="1"/>
        <v/>
      </c>
      <c r="W15" s="51"/>
      <c r="X15" s="51"/>
      <c r="Y15" s="51"/>
      <c r="Z15" s="51"/>
      <c r="AA15" s="51"/>
      <c r="AB15" s="51"/>
      <c r="AC15" s="51"/>
      <c r="AD15" s="51"/>
      <c r="AE15" s="70" t="str">
        <f t="shared" si="2"/>
        <v/>
      </c>
      <c r="AF15" s="51"/>
      <c r="AG15" s="51"/>
      <c r="AH15" s="51"/>
      <c r="AI15" s="51"/>
      <c r="AJ15" s="51"/>
      <c r="AK15" s="51"/>
      <c r="AL15" s="51"/>
      <c r="AM15" s="51"/>
      <c r="AN15" s="70" t="str">
        <f t="shared" si="3"/>
        <v/>
      </c>
      <c r="AO15" s="51"/>
      <c r="AP15" s="51"/>
      <c r="AQ15" s="51"/>
      <c r="AR15" s="51"/>
      <c r="AS15" s="51"/>
      <c r="AT15" s="51"/>
      <c r="AU15" s="51"/>
      <c r="AV15" s="51"/>
      <c r="AW15" s="70" t="str">
        <f t="shared" si="4"/>
        <v/>
      </c>
      <c r="AX15" s="70" t="str">
        <f t="shared" si="5"/>
        <v/>
      </c>
    </row>
    <row r="16" spans="1:50">
      <c r="A16" s="51"/>
      <c r="B16" s="52"/>
      <c r="C16" s="52"/>
      <c r="D16" s="52"/>
      <c r="E16" s="51"/>
      <c r="F16" s="51"/>
      <c r="G16" s="51"/>
      <c r="H16" s="51"/>
      <c r="I16" s="51"/>
      <c r="J16" s="51"/>
      <c r="K16" s="51"/>
      <c r="L16" s="51"/>
      <c r="M16" s="70" t="str">
        <f t="shared" si="0"/>
        <v/>
      </c>
      <c r="N16" s="51"/>
      <c r="O16" s="51"/>
      <c r="P16" s="51"/>
      <c r="Q16" s="51"/>
      <c r="R16" s="51"/>
      <c r="S16" s="51"/>
      <c r="T16" s="51"/>
      <c r="U16" s="51"/>
      <c r="V16" s="70" t="str">
        <f t="shared" si="1"/>
        <v/>
      </c>
      <c r="W16" s="51"/>
      <c r="X16" s="51"/>
      <c r="Y16" s="51"/>
      <c r="Z16" s="51"/>
      <c r="AA16" s="51"/>
      <c r="AB16" s="51"/>
      <c r="AC16" s="51"/>
      <c r="AD16" s="51"/>
      <c r="AE16" s="70" t="str">
        <f t="shared" si="2"/>
        <v/>
      </c>
      <c r="AF16" s="51"/>
      <c r="AG16" s="51"/>
      <c r="AH16" s="51"/>
      <c r="AI16" s="51"/>
      <c r="AJ16" s="51"/>
      <c r="AK16" s="51"/>
      <c r="AL16" s="51"/>
      <c r="AM16" s="51"/>
      <c r="AN16" s="70" t="str">
        <f t="shared" si="3"/>
        <v/>
      </c>
      <c r="AO16" s="51"/>
      <c r="AP16" s="51"/>
      <c r="AQ16" s="51"/>
      <c r="AR16" s="51"/>
      <c r="AS16" s="51"/>
      <c r="AT16" s="51"/>
      <c r="AU16" s="51"/>
      <c r="AV16" s="51"/>
      <c r="AW16" s="70" t="str">
        <f t="shared" si="4"/>
        <v/>
      </c>
      <c r="AX16" s="70" t="str">
        <f t="shared" si="5"/>
        <v/>
      </c>
    </row>
    <row r="17" spans="1:50">
      <c r="A17" s="51"/>
      <c r="B17" s="52"/>
      <c r="C17" s="52"/>
      <c r="D17" s="52"/>
      <c r="E17" s="51"/>
      <c r="F17" s="51"/>
      <c r="G17" s="51"/>
      <c r="H17" s="51"/>
      <c r="I17" s="51"/>
      <c r="J17" s="51"/>
      <c r="K17" s="51"/>
      <c r="L17" s="51"/>
      <c r="M17" s="70" t="str">
        <f t="shared" si="0"/>
        <v/>
      </c>
      <c r="N17" s="51"/>
      <c r="O17" s="51"/>
      <c r="P17" s="51"/>
      <c r="Q17" s="51"/>
      <c r="R17" s="51"/>
      <c r="S17" s="51"/>
      <c r="T17" s="51"/>
      <c r="U17" s="51"/>
      <c r="V17" s="70" t="str">
        <f t="shared" si="1"/>
        <v/>
      </c>
      <c r="W17" s="51"/>
      <c r="X17" s="51"/>
      <c r="Y17" s="51"/>
      <c r="Z17" s="51"/>
      <c r="AA17" s="51"/>
      <c r="AB17" s="51"/>
      <c r="AC17" s="51"/>
      <c r="AD17" s="51"/>
      <c r="AE17" s="70" t="str">
        <f t="shared" si="2"/>
        <v/>
      </c>
      <c r="AF17" s="51"/>
      <c r="AG17" s="51"/>
      <c r="AH17" s="51"/>
      <c r="AI17" s="51"/>
      <c r="AJ17" s="51"/>
      <c r="AK17" s="51"/>
      <c r="AL17" s="51"/>
      <c r="AM17" s="51"/>
      <c r="AN17" s="70" t="str">
        <f t="shared" si="3"/>
        <v/>
      </c>
      <c r="AO17" s="51"/>
      <c r="AP17" s="51"/>
      <c r="AQ17" s="51"/>
      <c r="AR17" s="51"/>
      <c r="AS17" s="51"/>
      <c r="AT17" s="51"/>
      <c r="AU17" s="51"/>
      <c r="AV17" s="51"/>
      <c r="AW17" s="70" t="str">
        <f t="shared" si="4"/>
        <v/>
      </c>
      <c r="AX17" s="70" t="str">
        <f t="shared" si="5"/>
        <v/>
      </c>
    </row>
    <row r="18" spans="1:50">
      <c r="A18" s="51"/>
      <c r="B18" s="52"/>
      <c r="C18" s="52"/>
      <c r="D18" s="52"/>
      <c r="E18" s="51"/>
      <c r="F18" s="51"/>
      <c r="G18" s="51"/>
      <c r="H18" s="51"/>
      <c r="I18" s="51"/>
      <c r="J18" s="51"/>
      <c r="K18" s="51"/>
      <c r="L18" s="51"/>
      <c r="M18" s="70" t="str">
        <f t="shared" si="0"/>
        <v/>
      </c>
      <c r="N18" s="51"/>
      <c r="O18" s="51"/>
      <c r="P18" s="51"/>
      <c r="Q18" s="51"/>
      <c r="R18" s="51"/>
      <c r="S18" s="51"/>
      <c r="T18" s="51"/>
      <c r="U18" s="51"/>
      <c r="V18" s="70" t="str">
        <f t="shared" si="1"/>
        <v/>
      </c>
      <c r="W18" s="51"/>
      <c r="X18" s="51"/>
      <c r="Y18" s="51"/>
      <c r="Z18" s="51"/>
      <c r="AA18" s="51"/>
      <c r="AB18" s="51"/>
      <c r="AC18" s="51"/>
      <c r="AD18" s="51"/>
      <c r="AE18" s="70" t="str">
        <f t="shared" si="2"/>
        <v/>
      </c>
      <c r="AF18" s="51"/>
      <c r="AG18" s="51"/>
      <c r="AH18" s="51"/>
      <c r="AI18" s="51"/>
      <c r="AJ18" s="51"/>
      <c r="AK18" s="51"/>
      <c r="AL18" s="51"/>
      <c r="AM18" s="51"/>
      <c r="AN18" s="70" t="str">
        <f t="shared" si="3"/>
        <v/>
      </c>
      <c r="AO18" s="51"/>
      <c r="AP18" s="51"/>
      <c r="AQ18" s="51"/>
      <c r="AR18" s="51"/>
      <c r="AS18" s="51"/>
      <c r="AT18" s="51"/>
      <c r="AU18" s="51"/>
      <c r="AV18" s="51"/>
      <c r="AW18" s="70" t="str">
        <f t="shared" si="4"/>
        <v/>
      </c>
      <c r="AX18" s="70" t="str">
        <f t="shared" si="5"/>
        <v/>
      </c>
    </row>
    <row r="19" spans="1:50">
      <c r="A19" s="51"/>
      <c r="B19" s="52"/>
      <c r="C19" s="52"/>
      <c r="D19" s="52"/>
      <c r="E19" s="51"/>
      <c r="F19" s="51"/>
      <c r="G19" s="51"/>
      <c r="H19" s="51"/>
      <c r="I19" s="51"/>
      <c r="J19" s="51"/>
      <c r="K19" s="51"/>
      <c r="L19" s="51"/>
      <c r="M19" s="70" t="str">
        <f t="shared" si="0"/>
        <v/>
      </c>
      <c r="N19" s="51"/>
      <c r="O19" s="51"/>
      <c r="P19" s="51"/>
      <c r="Q19" s="51"/>
      <c r="R19" s="51"/>
      <c r="S19" s="51"/>
      <c r="T19" s="51"/>
      <c r="U19" s="51"/>
      <c r="V19" s="70" t="str">
        <f t="shared" si="1"/>
        <v/>
      </c>
      <c r="W19" s="51"/>
      <c r="X19" s="51"/>
      <c r="Y19" s="51"/>
      <c r="Z19" s="51"/>
      <c r="AA19" s="51"/>
      <c r="AB19" s="51"/>
      <c r="AC19" s="51"/>
      <c r="AD19" s="51"/>
      <c r="AE19" s="70" t="str">
        <f t="shared" si="2"/>
        <v/>
      </c>
      <c r="AF19" s="51"/>
      <c r="AG19" s="51"/>
      <c r="AH19" s="51"/>
      <c r="AI19" s="51"/>
      <c r="AJ19" s="51"/>
      <c r="AK19" s="51"/>
      <c r="AL19" s="51"/>
      <c r="AM19" s="51"/>
      <c r="AN19" s="70" t="str">
        <f t="shared" si="3"/>
        <v/>
      </c>
      <c r="AO19" s="51"/>
      <c r="AP19" s="51"/>
      <c r="AQ19" s="51"/>
      <c r="AR19" s="51"/>
      <c r="AS19" s="51"/>
      <c r="AT19" s="51"/>
      <c r="AU19" s="51"/>
      <c r="AV19" s="51"/>
      <c r="AW19" s="70" t="str">
        <f t="shared" si="4"/>
        <v/>
      </c>
      <c r="AX19" s="70" t="str">
        <f t="shared" si="5"/>
        <v/>
      </c>
    </row>
    <row r="20" spans="1:50">
      <c r="A20" s="51"/>
      <c r="B20" s="52"/>
      <c r="C20" s="52"/>
      <c r="D20" s="52"/>
      <c r="E20" s="51"/>
      <c r="F20" s="51"/>
      <c r="G20" s="51"/>
      <c r="H20" s="51"/>
      <c r="I20" s="51"/>
      <c r="J20" s="51"/>
      <c r="K20" s="51"/>
      <c r="L20" s="51"/>
      <c r="M20" s="70" t="str">
        <f t="shared" si="0"/>
        <v/>
      </c>
      <c r="N20" s="51"/>
      <c r="O20" s="51"/>
      <c r="P20" s="51"/>
      <c r="Q20" s="51"/>
      <c r="R20" s="51"/>
      <c r="S20" s="51"/>
      <c r="T20" s="51"/>
      <c r="U20" s="51"/>
      <c r="V20" s="70" t="str">
        <f t="shared" si="1"/>
        <v/>
      </c>
      <c r="W20" s="51"/>
      <c r="X20" s="51"/>
      <c r="Y20" s="51"/>
      <c r="Z20" s="51"/>
      <c r="AA20" s="51"/>
      <c r="AB20" s="51"/>
      <c r="AC20" s="51"/>
      <c r="AD20" s="51"/>
      <c r="AE20" s="70" t="str">
        <f t="shared" si="2"/>
        <v/>
      </c>
      <c r="AF20" s="51"/>
      <c r="AG20" s="51"/>
      <c r="AH20" s="51"/>
      <c r="AI20" s="51"/>
      <c r="AJ20" s="51"/>
      <c r="AK20" s="51"/>
      <c r="AL20" s="51"/>
      <c r="AM20" s="51"/>
      <c r="AN20" s="70" t="str">
        <f t="shared" si="3"/>
        <v/>
      </c>
      <c r="AO20" s="51"/>
      <c r="AP20" s="51"/>
      <c r="AQ20" s="51"/>
      <c r="AR20" s="51"/>
      <c r="AS20" s="51"/>
      <c r="AT20" s="51"/>
      <c r="AU20" s="51"/>
      <c r="AV20" s="51"/>
      <c r="AW20" s="70" t="str">
        <f t="shared" si="4"/>
        <v/>
      </c>
      <c r="AX20" s="70" t="str">
        <f t="shared" si="5"/>
        <v/>
      </c>
    </row>
    <row r="21" spans="1:50">
      <c r="A21" s="51"/>
      <c r="B21" s="52"/>
      <c r="C21" s="52"/>
      <c r="D21" s="52"/>
      <c r="E21" s="51"/>
      <c r="F21" s="51"/>
      <c r="G21" s="51"/>
      <c r="H21" s="51"/>
      <c r="I21" s="51"/>
      <c r="J21" s="51"/>
      <c r="K21" s="51"/>
      <c r="L21" s="51"/>
      <c r="M21" s="70" t="str">
        <f t="shared" si="0"/>
        <v/>
      </c>
      <c r="N21" s="51"/>
      <c r="O21" s="51"/>
      <c r="P21" s="51"/>
      <c r="Q21" s="51"/>
      <c r="R21" s="51"/>
      <c r="S21" s="51"/>
      <c r="T21" s="51"/>
      <c r="U21" s="51"/>
      <c r="V21" s="70" t="str">
        <f t="shared" si="1"/>
        <v/>
      </c>
      <c r="W21" s="51"/>
      <c r="X21" s="51"/>
      <c r="Y21" s="51"/>
      <c r="Z21" s="51"/>
      <c r="AA21" s="51"/>
      <c r="AB21" s="51"/>
      <c r="AC21" s="51"/>
      <c r="AD21" s="51"/>
      <c r="AE21" s="70" t="str">
        <f t="shared" si="2"/>
        <v/>
      </c>
      <c r="AF21" s="51"/>
      <c r="AG21" s="51"/>
      <c r="AH21" s="51"/>
      <c r="AI21" s="51"/>
      <c r="AJ21" s="51"/>
      <c r="AK21" s="51"/>
      <c r="AL21" s="51"/>
      <c r="AM21" s="51"/>
      <c r="AN21" s="70" t="str">
        <f t="shared" si="3"/>
        <v/>
      </c>
      <c r="AO21" s="51"/>
      <c r="AP21" s="51"/>
      <c r="AQ21" s="51"/>
      <c r="AR21" s="51"/>
      <c r="AS21" s="51"/>
      <c r="AT21" s="51"/>
      <c r="AU21" s="51"/>
      <c r="AV21" s="51"/>
      <c r="AW21" s="70" t="str">
        <f t="shared" si="4"/>
        <v/>
      </c>
      <c r="AX21" s="70" t="str">
        <f t="shared" si="5"/>
        <v/>
      </c>
    </row>
    <row r="22" spans="1:50">
      <c r="A22" s="51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70" t="str">
        <f t="shared" si="0"/>
        <v/>
      </c>
      <c r="N22" s="51"/>
      <c r="O22" s="51"/>
      <c r="P22" s="51"/>
      <c r="Q22" s="51"/>
      <c r="R22" s="51"/>
      <c r="S22" s="51"/>
      <c r="T22" s="51"/>
      <c r="U22" s="51"/>
      <c r="V22" s="70" t="str">
        <f t="shared" si="1"/>
        <v/>
      </c>
      <c r="W22" s="51"/>
      <c r="X22" s="51"/>
      <c r="Y22" s="51"/>
      <c r="Z22" s="51"/>
      <c r="AA22" s="51"/>
      <c r="AB22" s="51"/>
      <c r="AC22" s="51"/>
      <c r="AD22" s="51"/>
      <c r="AE22" s="70" t="str">
        <f t="shared" si="2"/>
        <v/>
      </c>
      <c r="AF22" s="51"/>
      <c r="AG22" s="51"/>
      <c r="AH22" s="51"/>
      <c r="AI22" s="51"/>
      <c r="AJ22" s="51"/>
      <c r="AK22" s="51"/>
      <c r="AL22" s="51"/>
      <c r="AM22" s="51"/>
      <c r="AN22" s="70" t="str">
        <f t="shared" si="3"/>
        <v/>
      </c>
      <c r="AO22" s="51"/>
      <c r="AP22" s="51"/>
      <c r="AQ22" s="51"/>
      <c r="AR22" s="51"/>
      <c r="AS22" s="51"/>
      <c r="AT22" s="51"/>
      <c r="AU22" s="51"/>
      <c r="AV22" s="51"/>
      <c r="AW22" s="70" t="str">
        <f t="shared" si="4"/>
        <v/>
      </c>
      <c r="AX22" s="70" t="str">
        <f t="shared" si="5"/>
        <v/>
      </c>
    </row>
    <row r="23" spans="1:50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70" t="str">
        <f t="shared" si="0"/>
        <v/>
      </c>
      <c r="N23" s="51"/>
      <c r="O23" s="51"/>
      <c r="P23" s="51"/>
      <c r="Q23" s="51"/>
      <c r="R23" s="51"/>
      <c r="S23" s="51"/>
      <c r="T23" s="51"/>
      <c r="U23" s="51"/>
      <c r="V23" s="70" t="str">
        <f t="shared" si="1"/>
        <v/>
      </c>
      <c r="W23" s="51"/>
      <c r="X23" s="51"/>
      <c r="Y23" s="51"/>
      <c r="Z23" s="51"/>
      <c r="AA23" s="51"/>
      <c r="AB23" s="51"/>
      <c r="AC23" s="51"/>
      <c r="AD23" s="51"/>
      <c r="AE23" s="70" t="str">
        <f t="shared" si="2"/>
        <v/>
      </c>
      <c r="AF23" s="51"/>
      <c r="AG23" s="51"/>
      <c r="AH23" s="51"/>
      <c r="AI23" s="51"/>
      <c r="AJ23" s="51"/>
      <c r="AK23" s="51"/>
      <c r="AL23" s="51"/>
      <c r="AM23" s="51"/>
      <c r="AN23" s="70" t="str">
        <f t="shared" si="3"/>
        <v/>
      </c>
      <c r="AO23" s="51"/>
      <c r="AP23" s="51"/>
      <c r="AQ23" s="51"/>
      <c r="AR23" s="51"/>
      <c r="AS23" s="51"/>
      <c r="AT23" s="51"/>
      <c r="AU23" s="51"/>
      <c r="AV23" s="51"/>
      <c r="AW23" s="70" t="str">
        <f t="shared" si="4"/>
        <v/>
      </c>
      <c r="AX23" s="70" t="str">
        <f t="shared" si="5"/>
        <v/>
      </c>
    </row>
    <row r="24" spans="1:50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70" t="str">
        <f t="shared" si="0"/>
        <v/>
      </c>
      <c r="N24" s="51"/>
      <c r="O24" s="51"/>
      <c r="P24" s="51"/>
      <c r="Q24" s="51"/>
      <c r="R24" s="51"/>
      <c r="S24" s="51"/>
      <c r="T24" s="51"/>
      <c r="U24" s="51"/>
      <c r="V24" s="70" t="str">
        <f t="shared" si="1"/>
        <v/>
      </c>
      <c r="W24" s="51"/>
      <c r="X24" s="51"/>
      <c r="Y24" s="51"/>
      <c r="Z24" s="51"/>
      <c r="AA24" s="51"/>
      <c r="AB24" s="51"/>
      <c r="AC24" s="51"/>
      <c r="AD24" s="51"/>
      <c r="AE24" s="70" t="str">
        <f t="shared" si="2"/>
        <v/>
      </c>
      <c r="AF24" s="51"/>
      <c r="AG24" s="51"/>
      <c r="AH24" s="51"/>
      <c r="AI24" s="51"/>
      <c r="AJ24" s="51"/>
      <c r="AK24" s="51"/>
      <c r="AL24" s="51"/>
      <c r="AM24" s="51"/>
      <c r="AN24" s="70" t="str">
        <f t="shared" si="3"/>
        <v/>
      </c>
      <c r="AO24" s="51"/>
      <c r="AP24" s="51"/>
      <c r="AQ24" s="51"/>
      <c r="AR24" s="51"/>
      <c r="AS24" s="51"/>
      <c r="AT24" s="51"/>
      <c r="AU24" s="51"/>
      <c r="AV24" s="51"/>
      <c r="AW24" s="70" t="str">
        <f t="shared" si="4"/>
        <v/>
      </c>
      <c r="AX24" s="70" t="str">
        <f t="shared" si="5"/>
        <v/>
      </c>
    </row>
    <row r="25" spans="1:50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70" t="str">
        <f t="shared" si="0"/>
        <v/>
      </c>
      <c r="N25" s="51"/>
      <c r="O25" s="51"/>
      <c r="P25" s="51"/>
      <c r="Q25" s="51"/>
      <c r="R25" s="51"/>
      <c r="S25" s="51"/>
      <c r="T25" s="51"/>
      <c r="U25" s="51"/>
      <c r="V25" s="70" t="str">
        <f t="shared" si="1"/>
        <v/>
      </c>
      <c r="W25" s="51"/>
      <c r="X25" s="51"/>
      <c r="Y25" s="51"/>
      <c r="Z25" s="51"/>
      <c r="AA25" s="51"/>
      <c r="AB25" s="51"/>
      <c r="AC25" s="51"/>
      <c r="AD25" s="51"/>
      <c r="AE25" s="70" t="str">
        <f t="shared" si="2"/>
        <v/>
      </c>
      <c r="AF25" s="51"/>
      <c r="AG25" s="51"/>
      <c r="AH25" s="51"/>
      <c r="AI25" s="51"/>
      <c r="AJ25" s="51"/>
      <c r="AK25" s="51"/>
      <c r="AL25" s="51"/>
      <c r="AM25" s="51"/>
      <c r="AN25" s="70" t="str">
        <f t="shared" si="3"/>
        <v/>
      </c>
      <c r="AO25" s="51"/>
      <c r="AP25" s="51"/>
      <c r="AQ25" s="51"/>
      <c r="AR25" s="51"/>
      <c r="AS25" s="51"/>
      <c r="AT25" s="51"/>
      <c r="AU25" s="51"/>
      <c r="AV25" s="51"/>
      <c r="AW25" s="70" t="str">
        <f t="shared" si="4"/>
        <v/>
      </c>
      <c r="AX25" s="70" t="str">
        <f t="shared" si="5"/>
        <v/>
      </c>
    </row>
    <row r="26" spans="1:50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70" t="str">
        <f t="shared" si="0"/>
        <v/>
      </c>
      <c r="N26" s="51"/>
      <c r="O26" s="51"/>
      <c r="P26" s="51"/>
      <c r="Q26" s="51"/>
      <c r="R26" s="51"/>
      <c r="S26" s="51"/>
      <c r="T26" s="51"/>
      <c r="U26" s="51"/>
      <c r="V26" s="70" t="str">
        <f t="shared" si="1"/>
        <v/>
      </c>
      <c r="W26" s="51"/>
      <c r="X26" s="51"/>
      <c r="Y26" s="51"/>
      <c r="Z26" s="51"/>
      <c r="AA26" s="51"/>
      <c r="AB26" s="51"/>
      <c r="AC26" s="51"/>
      <c r="AD26" s="51"/>
      <c r="AE26" s="70" t="str">
        <f t="shared" si="2"/>
        <v/>
      </c>
      <c r="AF26" s="51"/>
      <c r="AG26" s="51"/>
      <c r="AH26" s="51"/>
      <c r="AI26" s="51"/>
      <c r="AJ26" s="51"/>
      <c r="AK26" s="51"/>
      <c r="AL26" s="51"/>
      <c r="AM26" s="51"/>
      <c r="AN26" s="70" t="str">
        <f t="shared" si="3"/>
        <v/>
      </c>
      <c r="AO26" s="51"/>
      <c r="AP26" s="51"/>
      <c r="AQ26" s="51"/>
      <c r="AR26" s="51"/>
      <c r="AS26" s="51"/>
      <c r="AT26" s="51"/>
      <c r="AU26" s="51"/>
      <c r="AV26" s="51"/>
      <c r="AW26" s="70" t="str">
        <f t="shared" si="4"/>
        <v/>
      </c>
      <c r="AX26" s="70" t="str">
        <f t="shared" si="5"/>
        <v/>
      </c>
    </row>
    <row r="27" spans="1:50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70" t="str">
        <f t="shared" si="0"/>
        <v/>
      </c>
      <c r="N27" s="51"/>
      <c r="O27" s="51"/>
      <c r="P27" s="51"/>
      <c r="Q27" s="51"/>
      <c r="R27" s="51"/>
      <c r="S27" s="51"/>
      <c r="T27" s="51"/>
      <c r="U27" s="51"/>
      <c r="V27" s="70" t="str">
        <f t="shared" si="1"/>
        <v/>
      </c>
      <c r="W27" s="51"/>
      <c r="X27" s="51"/>
      <c r="Y27" s="51"/>
      <c r="Z27" s="51"/>
      <c r="AA27" s="51"/>
      <c r="AB27" s="51"/>
      <c r="AC27" s="51"/>
      <c r="AD27" s="51"/>
      <c r="AE27" s="70" t="str">
        <f t="shared" si="2"/>
        <v/>
      </c>
      <c r="AF27" s="51"/>
      <c r="AG27" s="51"/>
      <c r="AH27" s="51"/>
      <c r="AI27" s="51"/>
      <c r="AJ27" s="51"/>
      <c r="AK27" s="51"/>
      <c r="AL27" s="51"/>
      <c r="AM27" s="51"/>
      <c r="AN27" s="70" t="str">
        <f t="shared" si="3"/>
        <v/>
      </c>
      <c r="AO27" s="51"/>
      <c r="AP27" s="51"/>
      <c r="AQ27" s="51"/>
      <c r="AR27" s="51"/>
      <c r="AS27" s="51"/>
      <c r="AT27" s="51"/>
      <c r="AU27" s="51"/>
      <c r="AV27" s="51"/>
      <c r="AW27" s="70" t="str">
        <f t="shared" si="4"/>
        <v/>
      </c>
      <c r="AX27" s="70" t="str">
        <f t="shared" si="5"/>
        <v/>
      </c>
    </row>
    <row r="28" spans="1:50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70" t="str">
        <f t="shared" si="0"/>
        <v/>
      </c>
      <c r="N28" s="51"/>
      <c r="O28" s="51"/>
      <c r="P28" s="51"/>
      <c r="Q28" s="51"/>
      <c r="R28" s="51"/>
      <c r="S28" s="51"/>
      <c r="T28" s="51"/>
      <c r="U28" s="51"/>
      <c r="V28" s="70" t="str">
        <f t="shared" si="1"/>
        <v/>
      </c>
      <c r="W28" s="51"/>
      <c r="X28" s="51"/>
      <c r="Y28" s="51"/>
      <c r="Z28" s="51"/>
      <c r="AA28" s="51"/>
      <c r="AB28" s="51"/>
      <c r="AC28" s="51"/>
      <c r="AD28" s="51"/>
      <c r="AE28" s="70" t="str">
        <f t="shared" si="2"/>
        <v/>
      </c>
      <c r="AF28" s="51"/>
      <c r="AG28" s="51"/>
      <c r="AH28" s="51"/>
      <c r="AI28" s="51"/>
      <c r="AJ28" s="51"/>
      <c r="AK28" s="51"/>
      <c r="AL28" s="51"/>
      <c r="AM28" s="51"/>
      <c r="AN28" s="70" t="str">
        <f t="shared" si="3"/>
        <v/>
      </c>
      <c r="AO28" s="51"/>
      <c r="AP28" s="51"/>
      <c r="AQ28" s="51"/>
      <c r="AR28" s="51"/>
      <c r="AS28" s="51"/>
      <c r="AT28" s="51"/>
      <c r="AU28" s="51"/>
      <c r="AV28" s="51"/>
      <c r="AW28" s="70" t="str">
        <f t="shared" si="4"/>
        <v/>
      </c>
      <c r="AX28" s="70" t="str">
        <f t="shared" si="5"/>
        <v/>
      </c>
    </row>
    <row r="29" spans="1:50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70" t="str">
        <f t="shared" si="0"/>
        <v/>
      </c>
      <c r="N29" s="51"/>
      <c r="O29" s="51"/>
      <c r="P29" s="51"/>
      <c r="Q29" s="51"/>
      <c r="R29" s="51"/>
      <c r="S29" s="51"/>
      <c r="T29" s="51"/>
      <c r="U29" s="51"/>
      <c r="V29" s="70" t="str">
        <f t="shared" si="1"/>
        <v/>
      </c>
      <c r="W29" s="51"/>
      <c r="X29" s="51"/>
      <c r="Y29" s="51"/>
      <c r="Z29" s="51"/>
      <c r="AA29" s="51"/>
      <c r="AB29" s="51"/>
      <c r="AC29" s="51"/>
      <c r="AD29" s="51"/>
      <c r="AE29" s="70" t="str">
        <f t="shared" si="2"/>
        <v/>
      </c>
      <c r="AF29" s="51"/>
      <c r="AG29" s="51"/>
      <c r="AH29" s="51"/>
      <c r="AI29" s="51"/>
      <c r="AJ29" s="51"/>
      <c r="AK29" s="51"/>
      <c r="AL29" s="51"/>
      <c r="AM29" s="51"/>
      <c r="AN29" s="70" t="str">
        <f t="shared" si="3"/>
        <v/>
      </c>
      <c r="AO29" s="51"/>
      <c r="AP29" s="51"/>
      <c r="AQ29" s="51"/>
      <c r="AR29" s="51"/>
      <c r="AS29" s="51"/>
      <c r="AT29" s="51"/>
      <c r="AU29" s="51"/>
      <c r="AV29" s="51"/>
      <c r="AW29" s="70" t="str">
        <f t="shared" si="4"/>
        <v/>
      </c>
      <c r="AX29" s="70" t="str">
        <f t="shared" si="5"/>
        <v/>
      </c>
    </row>
    <row r="30" spans="1:50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70" t="str">
        <f t="shared" si="0"/>
        <v/>
      </c>
      <c r="N30" s="51"/>
      <c r="O30" s="51"/>
      <c r="P30" s="51"/>
      <c r="Q30" s="51"/>
      <c r="R30" s="51"/>
      <c r="S30" s="51"/>
      <c r="T30" s="51"/>
      <c r="U30" s="51"/>
      <c r="V30" s="70" t="str">
        <f t="shared" si="1"/>
        <v/>
      </c>
      <c r="W30" s="51"/>
      <c r="X30" s="51"/>
      <c r="Y30" s="51"/>
      <c r="Z30" s="51"/>
      <c r="AA30" s="51"/>
      <c r="AB30" s="51"/>
      <c r="AC30" s="51"/>
      <c r="AD30" s="51"/>
      <c r="AE30" s="70" t="str">
        <f t="shared" si="2"/>
        <v/>
      </c>
      <c r="AF30" s="51"/>
      <c r="AG30" s="51"/>
      <c r="AH30" s="51"/>
      <c r="AI30" s="51"/>
      <c r="AJ30" s="51"/>
      <c r="AK30" s="51"/>
      <c r="AL30" s="51"/>
      <c r="AM30" s="51"/>
      <c r="AN30" s="70" t="str">
        <f t="shared" si="3"/>
        <v/>
      </c>
      <c r="AO30" s="51"/>
      <c r="AP30" s="51"/>
      <c r="AQ30" s="51"/>
      <c r="AR30" s="51"/>
      <c r="AS30" s="51"/>
      <c r="AT30" s="51"/>
      <c r="AU30" s="51"/>
      <c r="AV30" s="51"/>
      <c r="AW30" s="70" t="str">
        <f t="shared" si="4"/>
        <v/>
      </c>
      <c r="AX30" s="70" t="str">
        <f t="shared" si="5"/>
        <v/>
      </c>
    </row>
    <row r="31" spans="1:50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70" t="str">
        <f t="shared" si="0"/>
        <v/>
      </c>
      <c r="N31" s="51"/>
      <c r="O31" s="51"/>
      <c r="P31" s="51"/>
      <c r="Q31" s="51"/>
      <c r="R31" s="51"/>
      <c r="S31" s="51"/>
      <c r="T31" s="51"/>
      <c r="U31" s="51"/>
      <c r="V31" s="70" t="str">
        <f t="shared" si="1"/>
        <v/>
      </c>
      <c r="W31" s="51"/>
      <c r="X31" s="51"/>
      <c r="Y31" s="51"/>
      <c r="Z31" s="51"/>
      <c r="AA31" s="51"/>
      <c r="AB31" s="51"/>
      <c r="AC31" s="51"/>
      <c r="AD31" s="51"/>
      <c r="AE31" s="70" t="str">
        <f t="shared" si="2"/>
        <v/>
      </c>
      <c r="AF31" s="51"/>
      <c r="AG31" s="51"/>
      <c r="AH31" s="51"/>
      <c r="AI31" s="51"/>
      <c r="AJ31" s="51"/>
      <c r="AK31" s="51"/>
      <c r="AL31" s="51"/>
      <c r="AM31" s="51"/>
      <c r="AN31" s="70" t="str">
        <f t="shared" si="3"/>
        <v/>
      </c>
      <c r="AO31" s="51"/>
      <c r="AP31" s="51"/>
      <c r="AQ31" s="51"/>
      <c r="AR31" s="51"/>
      <c r="AS31" s="51"/>
      <c r="AT31" s="51"/>
      <c r="AU31" s="51"/>
      <c r="AV31" s="51"/>
      <c r="AW31" s="70" t="str">
        <f t="shared" si="4"/>
        <v/>
      </c>
      <c r="AX31" s="70" t="str">
        <f t="shared" si="5"/>
        <v/>
      </c>
    </row>
    <row r="32" spans="1:50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70" t="str">
        <f t="shared" si="0"/>
        <v/>
      </c>
      <c r="N32" s="51"/>
      <c r="O32" s="51"/>
      <c r="P32" s="51"/>
      <c r="Q32" s="51"/>
      <c r="R32" s="51"/>
      <c r="S32" s="51"/>
      <c r="T32" s="51"/>
      <c r="U32" s="51"/>
      <c r="V32" s="70" t="str">
        <f t="shared" si="1"/>
        <v/>
      </c>
      <c r="W32" s="51"/>
      <c r="X32" s="51"/>
      <c r="Y32" s="51"/>
      <c r="Z32" s="51"/>
      <c r="AA32" s="51"/>
      <c r="AB32" s="51"/>
      <c r="AC32" s="51"/>
      <c r="AD32" s="51"/>
      <c r="AE32" s="70" t="str">
        <f t="shared" si="2"/>
        <v/>
      </c>
      <c r="AF32" s="51"/>
      <c r="AG32" s="51"/>
      <c r="AH32" s="51"/>
      <c r="AI32" s="51"/>
      <c r="AJ32" s="51"/>
      <c r="AK32" s="51"/>
      <c r="AL32" s="51"/>
      <c r="AM32" s="51"/>
      <c r="AN32" s="70" t="str">
        <f t="shared" si="3"/>
        <v/>
      </c>
      <c r="AO32" s="51"/>
      <c r="AP32" s="51"/>
      <c r="AQ32" s="51"/>
      <c r="AR32" s="51"/>
      <c r="AS32" s="51"/>
      <c r="AT32" s="51"/>
      <c r="AU32" s="51"/>
      <c r="AV32" s="51"/>
      <c r="AW32" s="70" t="str">
        <f t="shared" si="4"/>
        <v/>
      </c>
      <c r="AX32" s="70" t="str">
        <f t="shared" si="5"/>
        <v/>
      </c>
    </row>
    <row r="33" spans="1:50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70" t="str">
        <f t="shared" si="0"/>
        <v/>
      </c>
      <c r="N33" s="51"/>
      <c r="O33" s="51"/>
      <c r="P33" s="51"/>
      <c r="Q33" s="51"/>
      <c r="R33" s="51"/>
      <c r="S33" s="51"/>
      <c r="T33" s="51"/>
      <c r="U33" s="51"/>
      <c r="V33" s="70" t="str">
        <f t="shared" si="1"/>
        <v/>
      </c>
      <c r="W33" s="51"/>
      <c r="X33" s="51"/>
      <c r="Y33" s="51"/>
      <c r="Z33" s="51"/>
      <c r="AA33" s="51"/>
      <c r="AB33" s="51"/>
      <c r="AC33" s="51"/>
      <c r="AD33" s="51"/>
      <c r="AE33" s="70" t="str">
        <f t="shared" si="2"/>
        <v/>
      </c>
      <c r="AF33" s="51"/>
      <c r="AG33" s="51"/>
      <c r="AH33" s="51"/>
      <c r="AI33" s="51"/>
      <c r="AJ33" s="51"/>
      <c r="AK33" s="51"/>
      <c r="AL33" s="51"/>
      <c r="AM33" s="51"/>
      <c r="AN33" s="70" t="str">
        <f t="shared" si="3"/>
        <v/>
      </c>
      <c r="AO33" s="51"/>
      <c r="AP33" s="51"/>
      <c r="AQ33" s="51"/>
      <c r="AR33" s="51"/>
      <c r="AS33" s="51"/>
      <c r="AT33" s="51"/>
      <c r="AU33" s="51"/>
      <c r="AV33" s="51"/>
      <c r="AW33" s="70" t="str">
        <f t="shared" si="4"/>
        <v/>
      </c>
      <c r="AX33" s="70" t="str">
        <f t="shared" si="5"/>
        <v/>
      </c>
    </row>
    <row r="34" spans="1:50">
      <c r="A34" s="51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70" t="str">
        <f t="shared" si="0"/>
        <v/>
      </c>
      <c r="N34" s="51"/>
      <c r="O34" s="51"/>
      <c r="P34" s="51"/>
      <c r="Q34" s="51"/>
      <c r="R34" s="51"/>
      <c r="S34" s="51"/>
      <c r="T34" s="51"/>
      <c r="U34" s="51"/>
      <c r="V34" s="70" t="str">
        <f t="shared" si="1"/>
        <v/>
      </c>
      <c r="W34" s="51"/>
      <c r="X34" s="51"/>
      <c r="Y34" s="51"/>
      <c r="Z34" s="51"/>
      <c r="AA34" s="51"/>
      <c r="AB34" s="51"/>
      <c r="AC34" s="51"/>
      <c r="AD34" s="51"/>
      <c r="AE34" s="70" t="str">
        <f t="shared" si="2"/>
        <v/>
      </c>
      <c r="AF34" s="51"/>
      <c r="AG34" s="51"/>
      <c r="AH34" s="51"/>
      <c r="AI34" s="51"/>
      <c r="AJ34" s="51"/>
      <c r="AK34" s="51"/>
      <c r="AL34" s="51"/>
      <c r="AM34" s="51"/>
      <c r="AN34" s="70" t="str">
        <f t="shared" si="3"/>
        <v/>
      </c>
      <c r="AO34" s="51"/>
      <c r="AP34" s="51"/>
      <c r="AQ34" s="51"/>
      <c r="AR34" s="51"/>
      <c r="AS34" s="51"/>
      <c r="AT34" s="51"/>
      <c r="AU34" s="51"/>
      <c r="AV34" s="51"/>
      <c r="AW34" s="70" t="str">
        <f t="shared" si="4"/>
        <v/>
      </c>
      <c r="AX34" s="70" t="str">
        <f t="shared" si="5"/>
        <v/>
      </c>
    </row>
    <row r="35" spans="1:50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70" t="str">
        <f t="shared" si="0"/>
        <v/>
      </c>
      <c r="N35" s="51"/>
      <c r="O35" s="51"/>
      <c r="P35" s="51"/>
      <c r="Q35" s="51"/>
      <c r="R35" s="51"/>
      <c r="S35" s="51"/>
      <c r="T35" s="51"/>
      <c r="U35" s="51"/>
      <c r="V35" s="70" t="str">
        <f t="shared" si="1"/>
        <v/>
      </c>
      <c r="W35" s="51"/>
      <c r="X35" s="51"/>
      <c r="Y35" s="51"/>
      <c r="Z35" s="51"/>
      <c r="AA35" s="51"/>
      <c r="AB35" s="51"/>
      <c r="AC35" s="51"/>
      <c r="AD35" s="51"/>
      <c r="AE35" s="70" t="str">
        <f t="shared" si="2"/>
        <v/>
      </c>
      <c r="AF35" s="51"/>
      <c r="AG35" s="51"/>
      <c r="AH35" s="51"/>
      <c r="AI35" s="51"/>
      <c r="AJ35" s="51"/>
      <c r="AK35" s="51"/>
      <c r="AL35" s="51"/>
      <c r="AM35" s="51"/>
      <c r="AN35" s="70" t="str">
        <f t="shared" si="3"/>
        <v/>
      </c>
      <c r="AO35" s="51"/>
      <c r="AP35" s="51"/>
      <c r="AQ35" s="51"/>
      <c r="AR35" s="51"/>
      <c r="AS35" s="51"/>
      <c r="AT35" s="51"/>
      <c r="AU35" s="51"/>
      <c r="AV35" s="51"/>
      <c r="AW35" s="70" t="str">
        <f t="shared" si="4"/>
        <v/>
      </c>
      <c r="AX35" s="70" t="str">
        <f t="shared" si="5"/>
        <v/>
      </c>
    </row>
    <row r="36" spans="1:50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70" t="str">
        <f t="shared" si="0"/>
        <v/>
      </c>
      <c r="N36" s="51"/>
      <c r="O36" s="51"/>
      <c r="P36" s="51"/>
      <c r="Q36" s="51"/>
      <c r="R36" s="51"/>
      <c r="S36" s="51"/>
      <c r="T36" s="51"/>
      <c r="U36" s="51"/>
      <c r="V36" s="70" t="str">
        <f t="shared" si="1"/>
        <v/>
      </c>
      <c r="W36" s="51"/>
      <c r="X36" s="51"/>
      <c r="Y36" s="51"/>
      <c r="Z36" s="51"/>
      <c r="AA36" s="51"/>
      <c r="AB36" s="51"/>
      <c r="AC36" s="51"/>
      <c r="AD36" s="51"/>
      <c r="AE36" s="70" t="str">
        <f t="shared" si="2"/>
        <v/>
      </c>
      <c r="AF36" s="51"/>
      <c r="AG36" s="51"/>
      <c r="AH36" s="51"/>
      <c r="AI36" s="51"/>
      <c r="AJ36" s="51"/>
      <c r="AK36" s="51"/>
      <c r="AL36" s="51"/>
      <c r="AM36" s="51"/>
      <c r="AN36" s="70" t="str">
        <f t="shared" si="3"/>
        <v/>
      </c>
      <c r="AO36" s="51"/>
      <c r="AP36" s="51"/>
      <c r="AQ36" s="51"/>
      <c r="AR36" s="51"/>
      <c r="AS36" s="51"/>
      <c r="AT36" s="51"/>
      <c r="AU36" s="51"/>
      <c r="AV36" s="51"/>
      <c r="AW36" s="70" t="str">
        <f t="shared" si="4"/>
        <v/>
      </c>
      <c r="AX36" s="70" t="str">
        <f t="shared" si="5"/>
        <v/>
      </c>
    </row>
    <row r="37" spans="1:50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70" t="str">
        <f t="shared" si="0"/>
        <v/>
      </c>
      <c r="N37" s="51"/>
      <c r="O37" s="51"/>
      <c r="P37" s="51"/>
      <c r="Q37" s="51"/>
      <c r="R37" s="51"/>
      <c r="S37" s="51"/>
      <c r="T37" s="51"/>
      <c r="U37" s="51"/>
      <c r="V37" s="70" t="str">
        <f t="shared" si="1"/>
        <v/>
      </c>
      <c r="W37" s="51"/>
      <c r="X37" s="51"/>
      <c r="Y37" s="51"/>
      <c r="Z37" s="51"/>
      <c r="AA37" s="51"/>
      <c r="AB37" s="51"/>
      <c r="AC37" s="51"/>
      <c r="AD37" s="51"/>
      <c r="AE37" s="70" t="str">
        <f t="shared" si="2"/>
        <v/>
      </c>
      <c r="AF37" s="51"/>
      <c r="AG37" s="51"/>
      <c r="AH37" s="51"/>
      <c r="AI37" s="51"/>
      <c r="AJ37" s="51"/>
      <c r="AK37" s="51"/>
      <c r="AL37" s="51"/>
      <c r="AM37" s="51"/>
      <c r="AN37" s="70" t="str">
        <f t="shared" si="3"/>
        <v/>
      </c>
      <c r="AO37" s="51"/>
      <c r="AP37" s="51"/>
      <c r="AQ37" s="51"/>
      <c r="AR37" s="51"/>
      <c r="AS37" s="51"/>
      <c r="AT37" s="51"/>
      <c r="AU37" s="51"/>
      <c r="AV37" s="51"/>
      <c r="AW37" s="70" t="str">
        <f t="shared" si="4"/>
        <v/>
      </c>
      <c r="AX37" s="70" t="str">
        <f t="shared" si="5"/>
        <v/>
      </c>
    </row>
    <row r="38" spans="1:50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70" t="str">
        <f t="shared" si="0"/>
        <v/>
      </c>
      <c r="N38" s="51"/>
      <c r="O38" s="51"/>
      <c r="P38" s="51"/>
      <c r="Q38" s="51"/>
      <c r="R38" s="51"/>
      <c r="S38" s="51"/>
      <c r="T38" s="51"/>
      <c r="U38" s="51"/>
      <c r="V38" s="70" t="str">
        <f t="shared" si="1"/>
        <v/>
      </c>
      <c r="W38" s="51"/>
      <c r="X38" s="51"/>
      <c r="Y38" s="51"/>
      <c r="Z38" s="51"/>
      <c r="AA38" s="51"/>
      <c r="AB38" s="51"/>
      <c r="AC38" s="51"/>
      <c r="AD38" s="51"/>
      <c r="AE38" s="70" t="str">
        <f t="shared" si="2"/>
        <v/>
      </c>
      <c r="AF38" s="51"/>
      <c r="AG38" s="51"/>
      <c r="AH38" s="51"/>
      <c r="AI38" s="51"/>
      <c r="AJ38" s="51"/>
      <c r="AK38" s="51"/>
      <c r="AL38" s="51"/>
      <c r="AM38" s="51"/>
      <c r="AN38" s="70" t="str">
        <f t="shared" si="3"/>
        <v/>
      </c>
      <c r="AO38" s="51"/>
      <c r="AP38" s="51"/>
      <c r="AQ38" s="51"/>
      <c r="AR38" s="51"/>
      <c r="AS38" s="51"/>
      <c r="AT38" s="51"/>
      <c r="AU38" s="51"/>
      <c r="AV38" s="51"/>
      <c r="AW38" s="70" t="str">
        <f t="shared" si="4"/>
        <v/>
      </c>
      <c r="AX38" s="70" t="str">
        <f t="shared" si="5"/>
        <v/>
      </c>
    </row>
    <row r="39" spans="1:50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70" t="str">
        <f t="shared" si="0"/>
        <v/>
      </c>
      <c r="N39" s="51"/>
      <c r="O39" s="51"/>
      <c r="P39" s="51"/>
      <c r="Q39" s="51"/>
      <c r="R39" s="51"/>
      <c r="S39" s="51"/>
      <c r="T39" s="51"/>
      <c r="U39" s="51"/>
      <c r="V39" s="70" t="str">
        <f t="shared" si="1"/>
        <v/>
      </c>
      <c r="W39" s="51"/>
      <c r="X39" s="51"/>
      <c r="Y39" s="51"/>
      <c r="Z39" s="51"/>
      <c r="AA39" s="51"/>
      <c r="AB39" s="51"/>
      <c r="AC39" s="51"/>
      <c r="AD39" s="51"/>
      <c r="AE39" s="70" t="str">
        <f t="shared" si="2"/>
        <v/>
      </c>
      <c r="AF39" s="51"/>
      <c r="AG39" s="51"/>
      <c r="AH39" s="51"/>
      <c r="AI39" s="51"/>
      <c r="AJ39" s="51"/>
      <c r="AK39" s="51"/>
      <c r="AL39" s="51"/>
      <c r="AM39" s="51"/>
      <c r="AN39" s="70" t="str">
        <f t="shared" si="3"/>
        <v/>
      </c>
      <c r="AO39" s="51"/>
      <c r="AP39" s="51"/>
      <c r="AQ39" s="51"/>
      <c r="AR39" s="51"/>
      <c r="AS39" s="51"/>
      <c r="AT39" s="51"/>
      <c r="AU39" s="51"/>
      <c r="AV39" s="51"/>
      <c r="AW39" s="70" t="str">
        <f t="shared" si="4"/>
        <v/>
      </c>
      <c r="AX39" s="70" t="str">
        <f t="shared" si="5"/>
        <v/>
      </c>
    </row>
    <row r="40" spans="1:50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70" t="str">
        <f t="shared" si="0"/>
        <v/>
      </c>
      <c r="N40" s="51"/>
      <c r="O40" s="51"/>
      <c r="P40" s="51"/>
      <c r="Q40" s="51"/>
      <c r="R40" s="51"/>
      <c r="S40" s="51"/>
      <c r="T40" s="51"/>
      <c r="U40" s="51"/>
      <c r="V40" s="70" t="str">
        <f t="shared" si="1"/>
        <v/>
      </c>
      <c r="W40" s="51"/>
      <c r="X40" s="51"/>
      <c r="Y40" s="51"/>
      <c r="Z40" s="51"/>
      <c r="AA40" s="51"/>
      <c r="AB40" s="51"/>
      <c r="AC40" s="51"/>
      <c r="AD40" s="51"/>
      <c r="AE40" s="70" t="str">
        <f t="shared" si="2"/>
        <v/>
      </c>
      <c r="AF40" s="51"/>
      <c r="AG40" s="51"/>
      <c r="AH40" s="51"/>
      <c r="AI40" s="51"/>
      <c r="AJ40" s="51"/>
      <c r="AK40" s="51"/>
      <c r="AL40" s="51"/>
      <c r="AM40" s="51"/>
      <c r="AN40" s="70" t="str">
        <f t="shared" si="3"/>
        <v/>
      </c>
      <c r="AO40" s="51"/>
      <c r="AP40" s="51"/>
      <c r="AQ40" s="51"/>
      <c r="AR40" s="51"/>
      <c r="AS40" s="51"/>
      <c r="AT40" s="51"/>
      <c r="AU40" s="51"/>
      <c r="AV40" s="51"/>
      <c r="AW40" s="70" t="str">
        <f t="shared" si="4"/>
        <v/>
      </c>
      <c r="AX40" s="70" t="str">
        <f t="shared" si="5"/>
        <v/>
      </c>
    </row>
    <row r="41" spans="1:50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70" t="str">
        <f t="shared" si="0"/>
        <v/>
      </c>
      <c r="N41" s="51"/>
      <c r="O41" s="51"/>
      <c r="P41" s="51"/>
      <c r="Q41" s="51"/>
      <c r="R41" s="51"/>
      <c r="S41" s="51"/>
      <c r="T41" s="51"/>
      <c r="U41" s="51"/>
      <c r="V41" s="70" t="str">
        <f t="shared" si="1"/>
        <v/>
      </c>
      <c r="W41" s="51"/>
      <c r="X41" s="51"/>
      <c r="Y41" s="51"/>
      <c r="Z41" s="51"/>
      <c r="AA41" s="51"/>
      <c r="AB41" s="51"/>
      <c r="AC41" s="51"/>
      <c r="AD41" s="51"/>
      <c r="AE41" s="70" t="str">
        <f t="shared" si="2"/>
        <v/>
      </c>
      <c r="AF41" s="51"/>
      <c r="AG41" s="51"/>
      <c r="AH41" s="51"/>
      <c r="AI41" s="51"/>
      <c r="AJ41" s="51"/>
      <c r="AK41" s="51"/>
      <c r="AL41" s="51"/>
      <c r="AM41" s="51"/>
      <c r="AN41" s="70" t="str">
        <f t="shared" si="3"/>
        <v/>
      </c>
      <c r="AO41" s="51"/>
      <c r="AP41" s="51"/>
      <c r="AQ41" s="51"/>
      <c r="AR41" s="51"/>
      <c r="AS41" s="51"/>
      <c r="AT41" s="51"/>
      <c r="AU41" s="51"/>
      <c r="AV41" s="51"/>
      <c r="AW41" s="70" t="str">
        <f t="shared" si="4"/>
        <v/>
      </c>
      <c r="AX41" s="70" t="str">
        <f t="shared" si="5"/>
        <v/>
      </c>
    </row>
    <row r="42" spans="1:50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70" t="str">
        <f t="shared" si="0"/>
        <v/>
      </c>
      <c r="N42" s="51"/>
      <c r="O42" s="51"/>
      <c r="P42" s="51"/>
      <c r="Q42" s="51"/>
      <c r="R42" s="51"/>
      <c r="S42" s="51"/>
      <c r="T42" s="51"/>
      <c r="U42" s="51"/>
      <c r="V42" s="70" t="str">
        <f t="shared" si="1"/>
        <v/>
      </c>
      <c r="W42" s="51"/>
      <c r="X42" s="51"/>
      <c r="Y42" s="51"/>
      <c r="Z42" s="51"/>
      <c r="AA42" s="51"/>
      <c r="AB42" s="51"/>
      <c r="AC42" s="51"/>
      <c r="AD42" s="51"/>
      <c r="AE42" s="70" t="str">
        <f t="shared" si="2"/>
        <v/>
      </c>
      <c r="AF42" s="51"/>
      <c r="AG42" s="51"/>
      <c r="AH42" s="51"/>
      <c r="AI42" s="51"/>
      <c r="AJ42" s="51"/>
      <c r="AK42" s="51"/>
      <c r="AL42" s="51"/>
      <c r="AM42" s="51"/>
      <c r="AN42" s="70" t="str">
        <f t="shared" si="3"/>
        <v/>
      </c>
      <c r="AO42" s="51"/>
      <c r="AP42" s="51"/>
      <c r="AQ42" s="51"/>
      <c r="AR42" s="51"/>
      <c r="AS42" s="51"/>
      <c r="AT42" s="51"/>
      <c r="AU42" s="51"/>
      <c r="AV42" s="51"/>
      <c r="AW42" s="70" t="str">
        <f t="shared" si="4"/>
        <v/>
      </c>
      <c r="AX42" s="70" t="str">
        <f t="shared" si="5"/>
        <v/>
      </c>
    </row>
    <row r="43" spans="1:50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70" t="str">
        <f t="shared" si="0"/>
        <v/>
      </c>
      <c r="N43" s="51"/>
      <c r="O43" s="51"/>
      <c r="P43" s="51"/>
      <c r="Q43" s="51"/>
      <c r="R43" s="51"/>
      <c r="S43" s="51"/>
      <c r="T43" s="51"/>
      <c r="U43" s="51"/>
      <c r="V43" s="70" t="str">
        <f t="shared" si="1"/>
        <v/>
      </c>
      <c r="W43" s="51"/>
      <c r="X43" s="51"/>
      <c r="Y43" s="51"/>
      <c r="Z43" s="51"/>
      <c r="AA43" s="51"/>
      <c r="AB43" s="51"/>
      <c r="AC43" s="51"/>
      <c r="AD43" s="51"/>
      <c r="AE43" s="70" t="str">
        <f t="shared" si="2"/>
        <v/>
      </c>
      <c r="AF43" s="51"/>
      <c r="AG43" s="51"/>
      <c r="AH43" s="51"/>
      <c r="AI43" s="51"/>
      <c r="AJ43" s="51"/>
      <c r="AK43" s="51"/>
      <c r="AL43" s="51"/>
      <c r="AM43" s="51"/>
      <c r="AN43" s="70" t="str">
        <f t="shared" si="3"/>
        <v/>
      </c>
      <c r="AO43" s="51"/>
      <c r="AP43" s="51"/>
      <c r="AQ43" s="51"/>
      <c r="AR43" s="51"/>
      <c r="AS43" s="51"/>
      <c r="AT43" s="51"/>
      <c r="AU43" s="51"/>
      <c r="AV43" s="51"/>
      <c r="AW43" s="70" t="str">
        <f t="shared" si="4"/>
        <v/>
      </c>
      <c r="AX43" s="70" t="str">
        <f t="shared" si="5"/>
        <v/>
      </c>
    </row>
    <row r="44" spans="1:50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70" t="str">
        <f t="shared" si="0"/>
        <v/>
      </c>
      <c r="N44" s="51"/>
      <c r="O44" s="51"/>
      <c r="P44" s="51"/>
      <c r="Q44" s="51"/>
      <c r="R44" s="51"/>
      <c r="S44" s="51"/>
      <c r="T44" s="51"/>
      <c r="U44" s="51"/>
      <c r="V44" s="70" t="str">
        <f t="shared" si="1"/>
        <v/>
      </c>
      <c r="W44" s="51"/>
      <c r="X44" s="51"/>
      <c r="Y44" s="51"/>
      <c r="Z44" s="51"/>
      <c r="AA44" s="51"/>
      <c r="AB44" s="51"/>
      <c r="AC44" s="51"/>
      <c r="AD44" s="51"/>
      <c r="AE44" s="70" t="str">
        <f t="shared" si="2"/>
        <v/>
      </c>
      <c r="AF44" s="51"/>
      <c r="AG44" s="51"/>
      <c r="AH44" s="51"/>
      <c r="AI44" s="51"/>
      <c r="AJ44" s="51"/>
      <c r="AK44" s="51"/>
      <c r="AL44" s="51"/>
      <c r="AM44" s="51"/>
      <c r="AN44" s="70" t="str">
        <f t="shared" si="3"/>
        <v/>
      </c>
      <c r="AO44" s="51"/>
      <c r="AP44" s="51"/>
      <c r="AQ44" s="51"/>
      <c r="AR44" s="51"/>
      <c r="AS44" s="51"/>
      <c r="AT44" s="51"/>
      <c r="AU44" s="51"/>
      <c r="AV44" s="51"/>
      <c r="AW44" s="70" t="str">
        <f t="shared" si="4"/>
        <v/>
      </c>
      <c r="AX44" s="70" t="str">
        <f t="shared" si="5"/>
        <v/>
      </c>
    </row>
    <row r="45" spans="1:50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70" t="str">
        <f t="shared" si="0"/>
        <v/>
      </c>
      <c r="N45" s="51"/>
      <c r="O45" s="51"/>
      <c r="P45" s="51"/>
      <c r="Q45" s="51"/>
      <c r="R45" s="51"/>
      <c r="S45" s="51"/>
      <c r="T45" s="51"/>
      <c r="U45" s="51"/>
      <c r="V45" s="70" t="str">
        <f t="shared" si="1"/>
        <v/>
      </c>
      <c r="W45" s="51"/>
      <c r="X45" s="51"/>
      <c r="Y45" s="51"/>
      <c r="Z45" s="51"/>
      <c r="AA45" s="51"/>
      <c r="AB45" s="51"/>
      <c r="AC45" s="51"/>
      <c r="AD45" s="51"/>
      <c r="AE45" s="70" t="str">
        <f t="shared" si="2"/>
        <v/>
      </c>
      <c r="AF45" s="51"/>
      <c r="AG45" s="51"/>
      <c r="AH45" s="51"/>
      <c r="AI45" s="51"/>
      <c r="AJ45" s="51"/>
      <c r="AK45" s="51"/>
      <c r="AL45" s="51"/>
      <c r="AM45" s="51"/>
      <c r="AN45" s="70" t="str">
        <f t="shared" si="3"/>
        <v/>
      </c>
      <c r="AO45" s="51"/>
      <c r="AP45" s="51"/>
      <c r="AQ45" s="51"/>
      <c r="AR45" s="51"/>
      <c r="AS45" s="51"/>
      <c r="AT45" s="51"/>
      <c r="AU45" s="51"/>
      <c r="AV45" s="51"/>
      <c r="AW45" s="70" t="str">
        <f t="shared" si="4"/>
        <v/>
      </c>
      <c r="AX45" s="70" t="str">
        <f t="shared" si="5"/>
        <v/>
      </c>
    </row>
    <row r="46" spans="1:50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70" t="str">
        <f t="shared" si="0"/>
        <v/>
      </c>
      <c r="N46" s="51"/>
      <c r="O46" s="51"/>
      <c r="P46" s="51"/>
      <c r="Q46" s="51"/>
      <c r="R46" s="51"/>
      <c r="S46" s="51"/>
      <c r="T46" s="51"/>
      <c r="U46" s="51"/>
      <c r="V46" s="70" t="str">
        <f t="shared" si="1"/>
        <v/>
      </c>
      <c r="W46" s="51"/>
      <c r="X46" s="51"/>
      <c r="Y46" s="51"/>
      <c r="Z46" s="51"/>
      <c r="AA46" s="51"/>
      <c r="AB46" s="51"/>
      <c r="AC46" s="51"/>
      <c r="AD46" s="51"/>
      <c r="AE46" s="70" t="str">
        <f t="shared" si="2"/>
        <v/>
      </c>
      <c r="AF46" s="51"/>
      <c r="AG46" s="51"/>
      <c r="AH46" s="51"/>
      <c r="AI46" s="51"/>
      <c r="AJ46" s="51"/>
      <c r="AK46" s="51"/>
      <c r="AL46" s="51"/>
      <c r="AM46" s="51"/>
      <c r="AN46" s="70" t="str">
        <f t="shared" si="3"/>
        <v/>
      </c>
      <c r="AO46" s="51"/>
      <c r="AP46" s="51"/>
      <c r="AQ46" s="51"/>
      <c r="AR46" s="51"/>
      <c r="AS46" s="51"/>
      <c r="AT46" s="51"/>
      <c r="AU46" s="51"/>
      <c r="AV46" s="51"/>
      <c r="AW46" s="70" t="str">
        <f t="shared" si="4"/>
        <v/>
      </c>
      <c r="AX46" s="70" t="str">
        <f t="shared" si="5"/>
        <v/>
      </c>
    </row>
    <row r="47" spans="1:50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70" t="str">
        <f t="shared" si="0"/>
        <v/>
      </c>
      <c r="N47" s="51"/>
      <c r="O47" s="51"/>
      <c r="P47" s="51"/>
      <c r="Q47" s="51"/>
      <c r="R47" s="51"/>
      <c r="S47" s="51"/>
      <c r="T47" s="51"/>
      <c r="U47" s="51"/>
      <c r="V47" s="70" t="str">
        <f t="shared" si="1"/>
        <v/>
      </c>
      <c r="W47" s="51"/>
      <c r="X47" s="51"/>
      <c r="Y47" s="51"/>
      <c r="Z47" s="51"/>
      <c r="AA47" s="51"/>
      <c r="AB47" s="51"/>
      <c r="AC47" s="51"/>
      <c r="AD47" s="51"/>
      <c r="AE47" s="70" t="str">
        <f t="shared" si="2"/>
        <v/>
      </c>
      <c r="AF47" s="51"/>
      <c r="AG47" s="51"/>
      <c r="AH47" s="51"/>
      <c r="AI47" s="51"/>
      <c r="AJ47" s="51"/>
      <c r="AK47" s="51"/>
      <c r="AL47" s="51"/>
      <c r="AM47" s="51"/>
      <c r="AN47" s="70" t="str">
        <f t="shared" si="3"/>
        <v/>
      </c>
      <c r="AO47" s="51"/>
      <c r="AP47" s="51"/>
      <c r="AQ47" s="51"/>
      <c r="AR47" s="51"/>
      <c r="AS47" s="51"/>
      <c r="AT47" s="51"/>
      <c r="AU47" s="51"/>
      <c r="AV47" s="51"/>
      <c r="AW47" s="70" t="str">
        <f t="shared" si="4"/>
        <v/>
      </c>
      <c r="AX47" s="70" t="str">
        <f t="shared" si="5"/>
        <v/>
      </c>
    </row>
    <row r="48" spans="1:50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70" t="str">
        <f t="shared" si="0"/>
        <v/>
      </c>
      <c r="N48" s="51"/>
      <c r="O48" s="51"/>
      <c r="P48" s="51"/>
      <c r="Q48" s="51"/>
      <c r="R48" s="51"/>
      <c r="S48" s="51"/>
      <c r="T48" s="51"/>
      <c r="U48" s="51"/>
      <c r="V48" s="70" t="str">
        <f t="shared" si="1"/>
        <v/>
      </c>
      <c r="W48" s="51"/>
      <c r="X48" s="51"/>
      <c r="Y48" s="51"/>
      <c r="Z48" s="51"/>
      <c r="AA48" s="51"/>
      <c r="AB48" s="51"/>
      <c r="AC48" s="51"/>
      <c r="AD48" s="51"/>
      <c r="AE48" s="70" t="str">
        <f t="shared" si="2"/>
        <v/>
      </c>
      <c r="AF48" s="51"/>
      <c r="AG48" s="51"/>
      <c r="AH48" s="51"/>
      <c r="AI48" s="51"/>
      <c r="AJ48" s="51"/>
      <c r="AK48" s="51"/>
      <c r="AL48" s="51"/>
      <c r="AM48" s="51"/>
      <c r="AN48" s="70" t="str">
        <f t="shared" si="3"/>
        <v/>
      </c>
      <c r="AO48" s="51"/>
      <c r="AP48" s="51"/>
      <c r="AQ48" s="51"/>
      <c r="AR48" s="51"/>
      <c r="AS48" s="51"/>
      <c r="AT48" s="51"/>
      <c r="AU48" s="51"/>
      <c r="AV48" s="51"/>
      <c r="AW48" s="70" t="str">
        <f t="shared" si="4"/>
        <v/>
      </c>
      <c r="AX48" s="70" t="str">
        <f t="shared" si="5"/>
        <v/>
      </c>
    </row>
    <row r="49" spans="1:50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70" t="str">
        <f t="shared" si="0"/>
        <v/>
      </c>
      <c r="N49" s="51"/>
      <c r="O49" s="51"/>
      <c r="P49" s="51"/>
      <c r="Q49" s="51"/>
      <c r="R49" s="51"/>
      <c r="S49" s="51"/>
      <c r="T49" s="51"/>
      <c r="U49" s="51"/>
      <c r="V49" s="70" t="str">
        <f t="shared" si="1"/>
        <v/>
      </c>
      <c r="W49" s="51"/>
      <c r="X49" s="51"/>
      <c r="Y49" s="51"/>
      <c r="Z49" s="51"/>
      <c r="AA49" s="51"/>
      <c r="AB49" s="51"/>
      <c r="AC49" s="51"/>
      <c r="AD49" s="51"/>
      <c r="AE49" s="70" t="str">
        <f t="shared" si="2"/>
        <v/>
      </c>
      <c r="AF49" s="51"/>
      <c r="AG49" s="51"/>
      <c r="AH49" s="51"/>
      <c r="AI49" s="51"/>
      <c r="AJ49" s="51"/>
      <c r="AK49" s="51"/>
      <c r="AL49" s="51"/>
      <c r="AM49" s="51"/>
      <c r="AN49" s="70" t="str">
        <f t="shared" si="3"/>
        <v/>
      </c>
      <c r="AO49" s="51"/>
      <c r="AP49" s="51"/>
      <c r="AQ49" s="51"/>
      <c r="AR49" s="51"/>
      <c r="AS49" s="51"/>
      <c r="AT49" s="51"/>
      <c r="AU49" s="51"/>
      <c r="AV49" s="51"/>
      <c r="AW49" s="70" t="str">
        <f t="shared" si="4"/>
        <v/>
      </c>
      <c r="AX49" s="70" t="str">
        <f t="shared" si="5"/>
        <v/>
      </c>
    </row>
    <row r="50" spans="1:50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70" t="str">
        <f t="shared" si="0"/>
        <v/>
      </c>
      <c r="N50" s="51"/>
      <c r="O50" s="51"/>
      <c r="P50" s="51"/>
      <c r="Q50" s="51"/>
      <c r="R50" s="51"/>
      <c r="S50" s="51"/>
      <c r="T50" s="51"/>
      <c r="U50" s="51"/>
      <c r="V50" s="70" t="str">
        <f t="shared" si="1"/>
        <v/>
      </c>
      <c r="W50" s="51"/>
      <c r="X50" s="51"/>
      <c r="Y50" s="51"/>
      <c r="Z50" s="51"/>
      <c r="AA50" s="51"/>
      <c r="AB50" s="51"/>
      <c r="AC50" s="51"/>
      <c r="AD50" s="51"/>
      <c r="AE50" s="70" t="str">
        <f t="shared" si="2"/>
        <v/>
      </c>
      <c r="AF50" s="51"/>
      <c r="AG50" s="51"/>
      <c r="AH50" s="51"/>
      <c r="AI50" s="51"/>
      <c r="AJ50" s="51"/>
      <c r="AK50" s="51"/>
      <c r="AL50" s="51"/>
      <c r="AM50" s="51"/>
      <c r="AN50" s="70" t="str">
        <f t="shared" si="3"/>
        <v/>
      </c>
      <c r="AO50" s="51"/>
      <c r="AP50" s="51"/>
      <c r="AQ50" s="51"/>
      <c r="AR50" s="51"/>
      <c r="AS50" s="51"/>
      <c r="AT50" s="51"/>
      <c r="AU50" s="51"/>
      <c r="AV50" s="51"/>
      <c r="AW50" s="70" t="str">
        <f t="shared" si="4"/>
        <v/>
      </c>
      <c r="AX50" s="70" t="str">
        <f t="shared" si="5"/>
        <v/>
      </c>
    </row>
    <row r="51" spans="1:50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70" t="str">
        <f t="shared" si="0"/>
        <v/>
      </c>
      <c r="N51" s="51"/>
      <c r="O51" s="51"/>
      <c r="P51" s="51"/>
      <c r="Q51" s="51"/>
      <c r="R51" s="51"/>
      <c r="S51" s="51"/>
      <c r="T51" s="51"/>
      <c r="U51" s="51"/>
      <c r="V51" s="70" t="str">
        <f t="shared" si="1"/>
        <v/>
      </c>
      <c r="W51" s="51"/>
      <c r="X51" s="51"/>
      <c r="Y51" s="51"/>
      <c r="Z51" s="51"/>
      <c r="AA51" s="51"/>
      <c r="AB51" s="51"/>
      <c r="AC51" s="51"/>
      <c r="AD51" s="51"/>
      <c r="AE51" s="70" t="str">
        <f t="shared" si="2"/>
        <v/>
      </c>
      <c r="AF51" s="51"/>
      <c r="AG51" s="51"/>
      <c r="AH51" s="51"/>
      <c r="AI51" s="51"/>
      <c r="AJ51" s="51"/>
      <c r="AK51" s="51"/>
      <c r="AL51" s="51"/>
      <c r="AM51" s="51"/>
      <c r="AN51" s="70" t="str">
        <f t="shared" si="3"/>
        <v/>
      </c>
      <c r="AO51" s="51"/>
      <c r="AP51" s="51"/>
      <c r="AQ51" s="51"/>
      <c r="AR51" s="51"/>
      <c r="AS51" s="51"/>
      <c r="AT51" s="51"/>
      <c r="AU51" s="51"/>
      <c r="AV51" s="51"/>
      <c r="AW51" s="70" t="str">
        <f t="shared" si="4"/>
        <v/>
      </c>
      <c r="AX51" s="70" t="str">
        <f t="shared" si="5"/>
        <v/>
      </c>
    </row>
    <row r="52" spans="1:50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70" t="str">
        <f t="shared" si="0"/>
        <v/>
      </c>
      <c r="N52" s="51"/>
      <c r="O52" s="51"/>
      <c r="P52" s="51"/>
      <c r="Q52" s="51"/>
      <c r="R52" s="51"/>
      <c r="S52" s="51"/>
      <c r="T52" s="51"/>
      <c r="U52" s="51"/>
      <c r="V52" s="70" t="str">
        <f t="shared" si="1"/>
        <v/>
      </c>
      <c r="W52" s="51"/>
      <c r="X52" s="51"/>
      <c r="Y52" s="51"/>
      <c r="Z52" s="51"/>
      <c r="AA52" s="51"/>
      <c r="AB52" s="51"/>
      <c r="AC52" s="51"/>
      <c r="AD52" s="51"/>
      <c r="AE52" s="70" t="str">
        <f t="shared" si="2"/>
        <v/>
      </c>
      <c r="AF52" s="51"/>
      <c r="AG52" s="51"/>
      <c r="AH52" s="51"/>
      <c r="AI52" s="51"/>
      <c r="AJ52" s="51"/>
      <c r="AK52" s="51"/>
      <c r="AL52" s="51"/>
      <c r="AM52" s="51"/>
      <c r="AN52" s="70" t="str">
        <f t="shared" si="3"/>
        <v/>
      </c>
      <c r="AO52" s="51"/>
      <c r="AP52" s="51"/>
      <c r="AQ52" s="51"/>
      <c r="AR52" s="51"/>
      <c r="AS52" s="51"/>
      <c r="AT52" s="51"/>
      <c r="AU52" s="51"/>
      <c r="AV52" s="51"/>
      <c r="AW52" s="70" t="str">
        <f t="shared" si="4"/>
        <v/>
      </c>
      <c r="AX52" s="70" t="str">
        <f t="shared" si="5"/>
        <v/>
      </c>
    </row>
  </sheetData>
  <mergeCells count="20">
    <mergeCell ref="E1:F1"/>
    <mergeCell ref="G1:H1"/>
    <mergeCell ref="I1:J1"/>
    <mergeCell ref="K1:L1"/>
    <mergeCell ref="N1:O1"/>
    <mergeCell ref="P1:Q1"/>
    <mergeCell ref="R1:S1"/>
    <mergeCell ref="T1:U1"/>
    <mergeCell ref="W1:X1"/>
    <mergeCell ref="Y1:Z1"/>
    <mergeCell ref="AA1:AB1"/>
    <mergeCell ref="AC1:AD1"/>
    <mergeCell ref="AF1:AG1"/>
    <mergeCell ref="AH1:AI1"/>
    <mergeCell ref="AJ1:AK1"/>
    <mergeCell ref="AL1:AM1"/>
    <mergeCell ref="AO1:AP1"/>
    <mergeCell ref="AQ1:AR1"/>
    <mergeCell ref="AS1:AT1"/>
    <mergeCell ref="AU1:AV1"/>
  </mergeCell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C1:Z248"/>
  <sheetViews>
    <sheetView tabSelected="1" zoomScale="90" zoomScaleNormal="90" topLeftCell="C1" workbookViewId="0">
      <pane ySplit="2" topLeftCell="A3" activePane="bottomLeft" state="frozen"/>
      <selection/>
      <selection pane="bottomLeft" activeCell="J3" sqref="E3:E21 J3:J21"/>
    </sheetView>
  </sheetViews>
  <sheetFormatPr defaultColWidth="9" defaultRowHeight="13.85"/>
  <cols>
    <col min="1" max="1" width="12.6637168141593" hidden="1" customWidth="1"/>
    <col min="2" max="2" width="9" hidden="1" customWidth="1"/>
    <col min="4" max="4" width="8.44247787610619" customWidth="1"/>
    <col min="5" max="5" width="7.44247787610619" customWidth="1"/>
    <col min="6" max="6" width="7" customWidth="1"/>
    <col min="7" max="7" width="15.4424778761062" customWidth="1"/>
    <col min="8" max="8" width="17.3362831858407" customWidth="1"/>
    <col min="9" max="9" width="14.4424778761062" customWidth="1"/>
    <col min="10" max="10" width="13.8849557522124" customWidth="1"/>
    <col min="11" max="11" width="15.3362831858407" customWidth="1"/>
    <col min="12" max="12" width="16.1061946902655" customWidth="1"/>
    <col min="13" max="13" width="14.8849557522124" customWidth="1"/>
    <col min="14" max="14" width="11.1061946902655" customWidth="1"/>
  </cols>
  <sheetData>
    <row r="1" ht="27.75" spans="3:18">
      <c r="C1" s="47" t="s">
        <v>29</v>
      </c>
      <c r="D1" s="48" t="s">
        <v>30</v>
      </c>
      <c r="E1" s="47" t="s">
        <v>31</v>
      </c>
      <c r="F1" s="49" t="s">
        <v>32</v>
      </c>
      <c r="G1" s="47" t="s">
        <v>1</v>
      </c>
      <c r="H1" s="50">
        <v>45712</v>
      </c>
      <c r="I1" s="50">
        <v>45713</v>
      </c>
      <c r="J1" s="50">
        <v>45939</v>
      </c>
      <c r="K1" s="50">
        <v>45715</v>
      </c>
      <c r="L1" s="50"/>
      <c r="M1" s="50"/>
      <c r="N1" s="50">
        <v>46006</v>
      </c>
      <c r="O1" s="51"/>
      <c r="P1" s="51"/>
      <c r="Q1" s="51"/>
      <c r="R1" s="51"/>
    </row>
    <row r="2" ht="57" customHeight="1" spans="3:26">
      <c r="C2" s="47" t="s">
        <v>2</v>
      </c>
      <c r="D2" s="47" t="s">
        <v>3</v>
      </c>
      <c r="E2" s="47" t="s">
        <v>4</v>
      </c>
      <c r="F2" s="47" t="s">
        <v>5</v>
      </c>
      <c r="G2" s="47" t="s">
        <v>33</v>
      </c>
      <c r="H2" s="47" t="s">
        <v>34</v>
      </c>
      <c r="I2" s="47" t="s">
        <v>35</v>
      </c>
      <c r="J2" s="47" t="s">
        <v>36</v>
      </c>
      <c r="K2" s="47" t="s">
        <v>37</v>
      </c>
      <c r="L2" s="47" t="s">
        <v>38</v>
      </c>
      <c r="M2" s="47" t="s">
        <v>39</v>
      </c>
      <c r="N2" s="47" t="s">
        <v>40</v>
      </c>
      <c r="O2" s="61" t="s">
        <v>41</v>
      </c>
      <c r="P2" s="47" t="s">
        <v>42</v>
      </c>
      <c r="Q2" s="61" t="s">
        <v>43</v>
      </c>
      <c r="R2" s="61" t="s">
        <v>44</v>
      </c>
      <c r="S2" s="62"/>
      <c r="T2" s="62"/>
      <c r="U2" s="62"/>
      <c r="V2" s="62"/>
      <c r="W2" s="62"/>
      <c r="X2" s="62"/>
      <c r="Y2" s="62"/>
      <c r="Z2" s="62"/>
    </row>
    <row r="3" ht="15" customHeight="1" spans="3:26">
      <c r="C3" s="51"/>
      <c r="D3" s="52" t="s">
        <v>45</v>
      </c>
      <c r="E3" s="53" t="s">
        <v>46</v>
      </c>
      <c r="F3" s="52" t="s">
        <v>47</v>
      </c>
      <c r="G3" s="54" t="str">
        <f>Assignments!O4</f>
        <v/>
      </c>
      <c r="H3" s="55">
        <f>Performance!AX3</f>
        <v>95</v>
      </c>
      <c r="I3" s="52"/>
      <c r="J3" s="52">
        <v>85</v>
      </c>
      <c r="K3" s="52"/>
      <c r="L3" s="52"/>
      <c r="M3" s="52"/>
      <c r="N3" s="55" t="str" cm="1">
        <f t="array" ref="N3">IF(ISERROR(ROUND(SUMPRODUCT((G3:M3&lt;&gt;"")*G3:M3,$G$248:$M$248)/SUM((G3:M3&lt;&gt;"")*$G$248:$M$248),0)),"",ROUND(SUMPRODUCT((G3:M3&lt;&gt;"")*G3:M3,$G$248:$M$248)/SUM((G3:M3&lt;&gt;"")*$G$248:$M$248),0))</f>
        <v/>
      </c>
      <c r="O3" s="52"/>
      <c r="P3" s="52"/>
      <c r="Q3" s="52"/>
      <c r="R3" s="52"/>
      <c r="S3" s="62"/>
      <c r="T3" s="62"/>
      <c r="U3" s="62"/>
      <c r="V3" s="62"/>
      <c r="W3" s="62"/>
      <c r="X3" s="62"/>
      <c r="Y3" s="62"/>
      <c r="Z3" s="62"/>
    </row>
    <row r="4" ht="15" customHeight="1" spans="3:26">
      <c r="C4" s="51"/>
      <c r="D4" s="52" t="s">
        <v>48</v>
      </c>
      <c r="E4" s="53" t="s">
        <v>49</v>
      </c>
      <c r="F4" s="52" t="s">
        <v>50</v>
      </c>
      <c r="G4" s="54" t="str">
        <f>Assignments!O5</f>
        <v/>
      </c>
      <c r="H4" s="55">
        <f>Performance!AX4</f>
        <v>95</v>
      </c>
      <c r="I4" s="52"/>
      <c r="J4" s="52">
        <v>98</v>
      </c>
      <c r="K4" s="52"/>
      <c r="L4" s="52"/>
      <c r="M4" s="52"/>
      <c r="N4" s="55" t="str" cm="1">
        <f t="array" ref="N4">IF(ISERROR(ROUND(SUMPRODUCT((G4:M4&lt;&gt;"")*G4:M4,$G$248:$M$248)/SUM((G4:M4&lt;&gt;"")*$G$248:$M$248),0)),"",ROUND(SUMPRODUCT((G4:M4&lt;&gt;"")*G4:M4,$G$248:$M$248)/SUM((G4:M4&lt;&gt;"")*$G$248:$M$248),0))</f>
        <v/>
      </c>
      <c r="O4" s="52"/>
      <c r="P4" s="52"/>
      <c r="Q4" s="52"/>
      <c r="R4" s="52"/>
      <c r="S4" s="62"/>
      <c r="T4" s="62"/>
      <c r="U4" s="62"/>
      <c r="V4" s="62"/>
      <c r="W4" s="62"/>
      <c r="X4" s="62"/>
      <c r="Y4" s="62"/>
      <c r="Z4" s="62"/>
    </row>
    <row r="5" ht="15" customHeight="1" spans="3:26">
      <c r="C5" s="51"/>
      <c r="D5" s="52" t="s">
        <v>51</v>
      </c>
      <c r="E5" s="56" t="s">
        <v>52</v>
      </c>
      <c r="F5" s="52" t="s">
        <v>53</v>
      </c>
      <c r="G5" s="54" t="str">
        <f>Assignments!O6</f>
        <v/>
      </c>
      <c r="H5" s="55">
        <f>Performance!AX5</f>
        <v>95</v>
      </c>
      <c r="I5" s="52"/>
      <c r="J5" s="52">
        <v>86</v>
      </c>
      <c r="K5" s="52"/>
      <c r="L5" s="52"/>
      <c r="M5" s="52"/>
      <c r="N5" s="55" t="str" cm="1">
        <f t="array" ref="N5">IF(ISERROR(ROUND(SUMPRODUCT((G5:M5&lt;&gt;"")*G5:M5,$G$248:$M$248)/SUM((G5:M5&lt;&gt;"")*$G$248:$M$248),0)),"",ROUND(SUMPRODUCT((G5:M5&lt;&gt;"")*G5:M5,$G$248:$M$248)/SUM((G5:M5&lt;&gt;"")*$G$248:$M$248),0))</f>
        <v/>
      </c>
      <c r="O5" s="52"/>
      <c r="P5" s="52"/>
      <c r="Q5" s="52"/>
      <c r="R5" s="52"/>
      <c r="S5" s="62"/>
      <c r="T5" s="62"/>
      <c r="U5" s="62"/>
      <c r="V5" s="62"/>
      <c r="W5" s="62"/>
      <c r="X5" s="62"/>
      <c r="Y5" s="62"/>
      <c r="Z5" s="62"/>
    </row>
    <row r="6" ht="15" customHeight="1" spans="3:26">
      <c r="C6" s="51"/>
      <c r="D6" s="52" t="s">
        <v>54</v>
      </c>
      <c r="E6" s="57" t="s">
        <v>55</v>
      </c>
      <c r="F6" s="52" t="s">
        <v>56</v>
      </c>
      <c r="G6" s="54" t="str">
        <f>Assignments!O7</f>
        <v/>
      </c>
      <c r="H6" s="55">
        <f>Performance!AX6</f>
        <v>95</v>
      </c>
      <c r="I6" s="52"/>
      <c r="J6" s="52">
        <v>76</v>
      </c>
      <c r="K6" s="52"/>
      <c r="L6" s="52"/>
      <c r="M6" s="52"/>
      <c r="N6" s="55" t="str" cm="1">
        <f t="array" ref="N6">IF(ISERROR(ROUND(SUMPRODUCT((G6:M6&lt;&gt;"")*G6:M6,$G$248:$M$248)/SUM((G6:M6&lt;&gt;"")*$G$248:$M$248),0)),"",ROUND(SUMPRODUCT((G6:M6&lt;&gt;"")*G6:M6,$G$248:$M$248)/SUM((G6:M6&lt;&gt;"")*$G$248:$M$248),0))</f>
        <v/>
      </c>
      <c r="O6" s="52"/>
      <c r="P6" s="52"/>
      <c r="Q6" s="52"/>
      <c r="R6" s="52"/>
      <c r="S6" s="62"/>
      <c r="T6" s="62"/>
      <c r="U6" s="62"/>
      <c r="V6" s="62"/>
      <c r="W6" s="62"/>
      <c r="X6" s="62"/>
      <c r="Y6" s="62"/>
      <c r="Z6" s="62"/>
    </row>
    <row r="7" ht="15" customHeight="1" spans="3:26">
      <c r="C7" s="51"/>
      <c r="D7" s="52" t="s">
        <v>57</v>
      </c>
      <c r="E7" s="57" t="s">
        <v>58</v>
      </c>
      <c r="F7" s="52" t="s">
        <v>59</v>
      </c>
      <c r="G7" s="54" t="str">
        <f>Assignments!O8</f>
        <v/>
      </c>
      <c r="H7" s="55">
        <f>Performance!AX7</f>
        <v>95</v>
      </c>
      <c r="I7" s="52"/>
      <c r="J7" s="52">
        <v>82</v>
      </c>
      <c r="K7" s="52"/>
      <c r="L7" s="52"/>
      <c r="M7" s="52"/>
      <c r="N7" s="55" t="str" cm="1">
        <f t="array" ref="N7">IF(ISERROR(ROUND(SUMPRODUCT((G7:M7&lt;&gt;"")*G7:M7,$G$248:$M$248)/SUM((G7:M7&lt;&gt;"")*$G$248:$M$248),0)),"",ROUND(SUMPRODUCT((G7:M7&lt;&gt;"")*G7:M7,$G$248:$M$248)/SUM((G7:M7&lt;&gt;"")*$G$248:$M$248),0))</f>
        <v/>
      </c>
      <c r="O7" s="52"/>
      <c r="P7" s="52"/>
      <c r="Q7" s="52"/>
      <c r="R7" s="52"/>
      <c r="S7" s="62"/>
      <c r="T7" s="62"/>
      <c r="U7" s="62"/>
      <c r="V7" s="62"/>
      <c r="W7" s="62"/>
      <c r="X7" s="62"/>
      <c r="Y7" s="62"/>
      <c r="Z7" s="62"/>
    </row>
    <row r="8" ht="15" customHeight="1" spans="3:26">
      <c r="C8" s="51"/>
      <c r="D8" s="52" t="s">
        <v>60</v>
      </c>
      <c r="E8" s="57" t="s">
        <v>61</v>
      </c>
      <c r="F8" s="52" t="s">
        <v>62</v>
      </c>
      <c r="G8" s="54" t="str">
        <f>Assignments!O9</f>
        <v/>
      </c>
      <c r="H8" s="55">
        <f>Performance!AX8</f>
        <v>95</v>
      </c>
      <c r="I8" s="52"/>
      <c r="J8" s="52">
        <v>62</v>
      </c>
      <c r="K8" s="52"/>
      <c r="L8" s="52"/>
      <c r="M8" s="52"/>
      <c r="N8" s="55" t="str" cm="1">
        <f t="array" ref="N8">IF(ISERROR(ROUND(SUMPRODUCT((G8:M8&lt;&gt;"")*G8:M8,$G$248:$M$248)/SUM((G8:M8&lt;&gt;"")*$G$248:$M$248),0)),"",ROUND(SUMPRODUCT((G8:M8&lt;&gt;"")*G8:M8,$G$248:$M$248)/SUM((G8:M8&lt;&gt;"")*$G$248:$M$248),0))</f>
        <v/>
      </c>
      <c r="O8" s="52"/>
      <c r="P8" s="52"/>
      <c r="Q8" s="52"/>
      <c r="R8" s="52"/>
      <c r="S8" s="62"/>
      <c r="T8" s="62"/>
      <c r="U8" s="62"/>
      <c r="V8" s="62"/>
      <c r="W8" s="62"/>
      <c r="X8" s="62"/>
      <c r="Y8" s="62"/>
      <c r="Z8" s="62"/>
    </row>
    <row r="9" ht="15" customHeight="1" spans="3:26">
      <c r="C9" s="51"/>
      <c r="D9" s="52" t="s">
        <v>63</v>
      </c>
      <c r="E9" s="57" t="s">
        <v>64</v>
      </c>
      <c r="F9" s="52" t="s">
        <v>50</v>
      </c>
      <c r="G9" s="54" t="str">
        <f>Assignments!O10</f>
        <v/>
      </c>
      <c r="H9" s="55">
        <f>Performance!AX9</f>
        <v>95</v>
      </c>
      <c r="I9" s="52"/>
      <c r="J9" s="52">
        <v>73</v>
      </c>
      <c r="K9" s="52"/>
      <c r="L9" s="52"/>
      <c r="M9" s="52"/>
      <c r="N9" s="55" t="str" cm="1">
        <f t="array" ref="N9">IF(ISERROR(ROUND(SUMPRODUCT((G9:M9&lt;&gt;"")*G9:M9,$G$248:$M$248)/SUM((G9:M9&lt;&gt;"")*$G$248:$M$248),0)),"",ROUND(SUMPRODUCT((G9:M9&lt;&gt;"")*G9:M9,$G$248:$M$248)/SUM((G9:M9&lt;&gt;"")*$G$248:$M$248),0))</f>
        <v/>
      </c>
      <c r="O9" s="52"/>
      <c r="P9" s="52"/>
      <c r="Q9" s="52"/>
      <c r="R9" s="52"/>
      <c r="S9" s="62"/>
      <c r="T9" s="62"/>
      <c r="U9" s="62"/>
      <c r="V9" s="62"/>
      <c r="W9" s="62"/>
      <c r="X9" s="62"/>
      <c r="Y9" s="62"/>
      <c r="Z9" s="62"/>
    </row>
    <row r="10" ht="15" customHeight="1" spans="3:26">
      <c r="C10" s="51"/>
      <c r="D10" s="52" t="s">
        <v>65</v>
      </c>
      <c r="E10" s="53" t="s">
        <v>66</v>
      </c>
      <c r="F10" s="52" t="s">
        <v>67</v>
      </c>
      <c r="G10" s="54" t="str">
        <f>Assignments!O11</f>
        <v/>
      </c>
      <c r="H10" s="55">
        <f>Performance!AX10</f>
        <v>95</v>
      </c>
      <c r="I10" s="52"/>
      <c r="J10" s="52">
        <v>35</v>
      </c>
      <c r="K10" s="52"/>
      <c r="L10" s="52"/>
      <c r="M10" s="52"/>
      <c r="N10" s="55" t="str" cm="1">
        <f t="array" ref="N10">IF(ISERROR(ROUND(SUMPRODUCT((G10:M10&lt;&gt;"")*G10:M10,$G$248:$M$248)/SUM((G10:M10&lt;&gt;"")*$G$248:$M$248),0)),"",ROUND(SUMPRODUCT((G10:M10&lt;&gt;"")*G10:M10,$G$248:$M$248)/SUM((G10:M10&lt;&gt;"")*$G$248:$M$248),0))</f>
        <v/>
      </c>
      <c r="O10" s="52"/>
      <c r="P10" s="52"/>
      <c r="Q10" s="52"/>
      <c r="R10" s="52"/>
      <c r="S10" s="62"/>
      <c r="T10" s="62"/>
      <c r="U10" s="62"/>
      <c r="V10" s="62"/>
      <c r="W10" s="62"/>
      <c r="X10" s="62"/>
      <c r="Y10" s="62"/>
      <c r="Z10" s="62"/>
    </row>
    <row r="11" ht="15" customHeight="1" spans="3:26">
      <c r="C11" s="51"/>
      <c r="D11" s="52" t="s">
        <v>68</v>
      </c>
      <c r="E11" s="53" t="s">
        <v>69</v>
      </c>
      <c r="F11" s="52" t="s">
        <v>70</v>
      </c>
      <c r="G11" s="54" t="str">
        <f>Assignments!O12</f>
        <v/>
      </c>
      <c r="H11" s="55">
        <f>Performance!AX11</f>
        <v>95</v>
      </c>
      <c r="I11" s="52"/>
      <c r="J11" s="52">
        <v>61</v>
      </c>
      <c r="K11" s="52"/>
      <c r="L11" s="52"/>
      <c r="M11" s="52"/>
      <c r="N11" s="55" t="str" cm="1">
        <f t="array" ref="N11">IF(ISERROR(ROUND(SUMPRODUCT((G11:M11&lt;&gt;"")*G11:M11,$G$248:$M$248)/SUM((G11:M11&lt;&gt;"")*$G$248:$M$248),0)),"",ROUND(SUMPRODUCT((G11:M11&lt;&gt;"")*G11:M11,$G$248:$M$248)/SUM((G11:M11&lt;&gt;"")*$G$248:$M$248),0))</f>
        <v/>
      </c>
      <c r="O11" s="52"/>
      <c r="P11" s="52"/>
      <c r="Q11" s="52"/>
      <c r="R11" s="52"/>
      <c r="S11" s="62"/>
      <c r="T11" s="62"/>
      <c r="U11" s="62"/>
      <c r="V11" s="62"/>
      <c r="W11" s="62"/>
      <c r="X11" s="62"/>
      <c r="Y11" s="62"/>
      <c r="Z11" s="62"/>
    </row>
    <row r="12" ht="15" customHeight="1" spans="3:26">
      <c r="C12" s="51"/>
      <c r="D12" s="52" t="s">
        <v>71</v>
      </c>
      <c r="E12" s="56" t="s">
        <v>72</v>
      </c>
      <c r="F12" s="52" t="s">
        <v>73</v>
      </c>
      <c r="G12" s="54" t="str">
        <f>Assignments!O13</f>
        <v/>
      </c>
      <c r="H12" s="55">
        <f>Performance!AX12</f>
        <v>95</v>
      </c>
      <c r="I12" s="52"/>
      <c r="J12" s="52">
        <v>51</v>
      </c>
      <c r="K12" s="52"/>
      <c r="L12" s="52"/>
      <c r="M12" s="52"/>
      <c r="N12" s="55" t="str" cm="1">
        <f t="array" ref="N12">IF(ISERROR(ROUND(SUMPRODUCT((G12:M12&lt;&gt;"")*G12:M12,$G$248:$M$248)/SUM((G12:M12&lt;&gt;"")*$G$248:$M$248),0)),"",ROUND(SUMPRODUCT((G12:M12&lt;&gt;"")*G12:M12,$G$248:$M$248)/SUM((G12:M12&lt;&gt;"")*$G$248:$M$248),0))</f>
        <v/>
      </c>
      <c r="O12" s="52"/>
      <c r="P12" s="52"/>
      <c r="Q12" s="52"/>
      <c r="R12" s="52"/>
      <c r="S12" s="62"/>
      <c r="T12" s="62"/>
      <c r="U12" s="62"/>
      <c r="V12" s="62"/>
      <c r="W12" s="62"/>
      <c r="X12" s="62"/>
      <c r="Y12" s="62"/>
      <c r="Z12" s="62"/>
    </row>
    <row r="13" ht="15" customHeight="1" spans="3:26">
      <c r="C13" s="51"/>
      <c r="D13" s="52" t="s">
        <v>74</v>
      </c>
      <c r="E13" s="56" t="s">
        <v>75</v>
      </c>
      <c r="F13" s="52" t="s">
        <v>56</v>
      </c>
      <c r="G13" s="54" t="str">
        <f>Assignments!O14</f>
        <v/>
      </c>
      <c r="H13" s="55" t="str">
        <f>Performance!AX13</f>
        <v/>
      </c>
      <c r="I13" s="52"/>
      <c r="J13" s="52"/>
      <c r="K13" s="52"/>
      <c r="L13" s="52"/>
      <c r="M13" s="52"/>
      <c r="N13" s="55" t="str" cm="1">
        <f t="array" ref="N13">IF(ISERROR(ROUND(SUMPRODUCT((G13:M13&lt;&gt;"")*G13:M13,$G$248:$M$248)/SUM((G13:M13&lt;&gt;"")*$G$248:$M$248),0)),"",ROUND(SUMPRODUCT((G13:M13&lt;&gt;"")*G13:M13,$G$248:$M$248)/SUM((G13:M13&lt;&gt;"")*$G$248:$M$248),0))</f>
        <v/>
      </c>
      <c r="O13" s="52"/>
      <c r="P13" s="52"/>
      <c r="Q13" s="52"/>
      <c r="R13" s="52"/>
      <c r="S13" s="62"/>
      <c r="T13" s="62"/>
      <c r="U13" s="62"/>
      <c r="V13" s="62"/>
      <c r="W13" s="62"/>
      <c r="X13" s="62"/>
      <c r="Y13" s="62"/>
      <c r="Z13" s="62"/>
    </row>
    <row r="14" ht="15" customHeight="1" spans="3:26">
      <c r="C14" s="51"/>
      <c r="D14" s="52" t="s">
        <v>76</v>
      </c>
      <c r="E14" s="56" t="s">
        <v>77</v>
      </c>
      <c r="F14" s="52" t="s">
        <v>78</v>
      </c>
      <c r="G14" s="54" t="str">
        <f>Assignments!O15</f>
        <v/>
      </c>
      <c r="H14" s="55" t="str">
        <f>Performance!AX14</f>
        <v/>
      </c>
      <c r="I14" s="52"/>
      <c r="J14" s="52"/>
      <c r="K14" s="52"/>
      <c r="L14" s="52"/>
      <c r="M14" s="52"/>
      <c r="N14" s="55" t="str" cm="1">
        <f t="array" ref="N14">IF(ISERROR(ROUND(SUMPRODUCT((G14:M14&lt;&gt;"")*G14:M14,$G$248:$M$248)/SUM((G14:M14&lt;&gt;"")*$G$248:$M$248),0)),"",ROUND(SUMPRODUCT((G14:M14&lt;&gt;"")*G14:M14,$G$248:$M$248)/SUM((G14:M14&lt;&gt;"")*$G$248:$M$248),0))</f>
        <v/>
      </c>
      <c r="O14" s="52"/>
      <c r="P14" s="52"/>
      <c r="Q14" s="52"/>
      <c r="R14" s="52"/>
      <c r="S14" s="62"/>
      <c r="T14" s="62"/>
      <c r="U14" s="62"/>
      <c r="V14" s="62"/>
      <c r="W14" s="62"/>
      <c r="X14" s="62"/>
      <c r="Y14" s="62"/>
      <c r="Z14" s="62"/>
    </row>
    <row r="15" ht="15" customHeight="1" spans="3:26">
      <c r="C15" s="51"/>
      <c r="D15" s="52" t="s">
        <v>79</v>
      </c>
      <c r="E15" s="56" t="s">
        <v>80</v>
      </c>
      <c r="F15" s="52" t="s">
        <v>81</v>
      </c>
      <c r="G15" s="54" t="str">
        <f>Assignments!O16</f>
        <v/>
      </c>
      <c r="H15" s="55" t="str">
        <f>Performance!AX15</f>
        <v/>
      </c>
      <c r="I15" s="52"/>
      <c r="J15" s="52">
        <v>80</v>
      </c>
      <c r="K15" s="52"/>
      <c r="L15" s="52"/>
      <c r="M15" s="52"/>
      <c r="N15" s="55" t="str" cm="1">
        <f t="array" ref="N15">IF(ISERROR(ROUND(SUMPRODUCT((G15:M15&lt;&gt;"")*G15:M15,$G$248:$M$248)/SUM((G15:M15&lt;&gt;"")*$G$248:$M$248),0)),"",ROUND(SUMPRODUCT((G15:M15&lt;&gt;"")*G15:M15,$G$248:$M$248)/SUM((G15:M15&lt;&gt;"")*$G$248:$M$248),0))</f>
        <v/>
      </c>
      <c r="O15" s="52"/>
      <c r="P15" s="52"/>
      <c r="Q15" s="52"/>
      <c r="R15" s="52"/>
      <c r="S15" s="62"/>
      <c r="T15" s="62"/>
      <c r="U15" s="62"/>
      <c r="V15" s="62"/>
      <c r="W15" s="62"/>
      <c r="X15" s="62"/>
      <c r="Y15" s="62"/>
      <c r="Z15" s="62"/>
    </row>
    <row r="16" ht="15" customHeight="1" spans="3:26">
      <c r="C16" s="51"/>
      <c r="D16" s="52" t="s">
        <v>82</v>
      </c>
      <c r="E16" s="56" t="s">
        <v>83</v>
      </c>
      <c r="F16" s="52" t="s">
        <v>56</v>
      </c>
      <c r="G16" s="54" t="str">
        <f>Assignments!O17</f>
        <v/>
      </c>
      <c r="H16" s="55" t="str">
        <f>Performance!AX16</f>
        <v/>
      </c>
      <c r="I16" s="52"/>
      <c r="J16" s="52">
        <v>80</v>
      </c>
      <c r="K16" s="52"/>
      <c r="L16" s="52"/>
      <c r="M16" s="52"/>
      <c r="N16" s="55" t="str" cm="1">
        <f t="array" ref="N16">IF(ISERROR(ROUND(SUMPRODUCT((G16:M16&lt;&gt;"")*G16:M16,$G$248:$M$248)/SUM((G16:M16&lt;&gt;"")*$G$248:$M$248),0)),"",ROUND(SUMPRODUCT((G16:M16&lt;&gt;"")*G16:M16,$G$248:$M$248)/SUM((G16:M16&lt;&gt;"")*$G$248:$M$248),0))</f>
        <v/>
      </c>
      <c r="O16" s="52"/>
      <c r="P16" s="52"/>
      <c r="Q16" s="52"/>
      <c r="R16" s="52"/>
      <c r="S16" s="62"/>
      <c r="T16" s="62"/>
      <c r="U16" s="62"/>
      <c r="V16" s="62"/>
      <c r="W16" s="62"/>
      <c r="X16" s="62"/>
      <c r="Y16" s="62"/>
      <c r="Z16" s="62"/>
    </row>
    <row r="17" ht="15" customHeight="1" spans="3:26">
      <c r="C17" s="51"/>
      <c r="D17" s="52" t="s">
        <v>84</v>
      </c>
      <c r="E17" s="56" t="s">
        <v>85</v>
      </c>
      <c r="F17" s="52" t="s">
        <v>56</v>
      </c>
      <c r="G17" s="54" t="str">
        <f>Assignments!O18</f>
        <v/>
      </c>
      <c r="H17" s="55" t="str">
        <f>Performance!AX17</f>
        <v/>
      </c>
      <c r="I17" s="52"/>
      <c r="J17" s="52">
        <v>74</v>
      </c>
      <c r="K17" s="52"/>
      <c r="L17" s="52"/>
      <c r="M17" s="52"/>
      <c r="N17" s="55" t="str" cm="1">
        <f t="array" ref="N17">IF(ISERROR(ROUND(SUMPRODUCT((G17:M17&lt;&gt;"")*G17:M17,$G$248:$M$248)/SUM((G17:M17&lt;&gt;"")*$G$248:$M$248),0)),"",ROUND(SUMPRODUCT((G17:M17&lt;&gt;"")*G17:M17,$G$248:$M$248)/SUM((G17:M17&lt;&gt;"")*$G$248:$M$248),0))</f>
        <v/>
      </c>
      <c r="O17" s="52"/>
      <c r="P17" s="52"/>
      <c r="Q17" s="52"/>
      <c r="R17" s="52"/>
      <c r="S17" s="62"/>
      <c r="T17" s="62"/>
      <c r="U17" s="62"/>
      <c r="V17" s="62"/>
      <c r="W17" s="62"/>
      <c r="X17" s="62"/>
      <c r="Y17" s="62"/>
      <c r="Z17" s="62"/>
    </row>
    <row r="18" ht="15" customHeight="1" spans="3:26">
      <c r="C18" s="51"/>
      <c r="D18" s="52" t="s">
        <v>86</v>
      </c>
      <c r="E18" s="56" t="s">
        <v>87</v>
      </c>
      <c r="F18" s="52" t="s">
        <v>88</v>
      </c>
      <c r="G18" s="54" t="str">
        <f>Assignments!O19</f>
        <v/>
      </c>
      <c r="H18" s="55" t="str">
        <f>Performance!AX18</f>
        <v/>
      </c>
      <c r="I18" s="52"/>
      <c r="J18" s="52"/>
      <c r="K18" s="52"/>
      <c r="L18" s="52"/>
      <c r="M18" s="52"/>
      <c r="N18" s="55" t="str" cm="1">
        <f t="array" ref="N18">IF(ISERROR(ROUND(SUMPRODUCT((G18:M18&lt;&gt;"")*G18:M18,$G$248:$M$248)/SUM((G18:M18&lt;&gt;"")*$G$248:$M$248),0)),"",ROUND(SUMPRODUCT((G18:M18&lt;&gt;"")*G18:M18,$G$248:$M$248)/SUM((G18:M18&lt;&gt;"")*$G$248:$M$248),0))</f>
        <v/>
      </c>
      <c r="O18" s="52"/>
      <c r="P18" s="52"/>
      <c r="Q18" s="52"/>
      <c r="R18" s="52"/>
      <c r="S18" s="62"/>
      <c r="T18" s="62"/>
      <c r="U18" s="62"/>
      <c r="V18" s="62"/>
      <c r="W18" s="62"/>
      <c r="X18" s="62"/>
      <c r="Y18" s="62"/>
      <c r="Z18" s="62"/>
    </row>
    <row r="19" ht="15" customHeight="1" spans="3:26">
      <c r="C19" s="51"/>
      <c r="D19" s="52" t="s">
        <v>89</v>
      </c>
      <c r="E19" s="56" t="s">
        <v>90</v>
      </c>
      <c r="F19" s="52" t="s">
        <v>91</v>
      </c>
      <c r="G19" s="54" t="str">
        <f>Assignments!O20</f>
        <v/>
      </c>
      <c r="H19" s="55" t="str">
        <f>Performance!AX19</f>
        <v/>
      </c>
      <c r="I19" s="52"/>
      <c r="J19" s="52">
        <v>87</v>
      </c>
      <c r="K19" s="52"/>
      <c r="L19" s="52"/>
      <c r="M19" s="52"/>
      <c r="N19" s="55" t="str" cm="1">
        <f t="array" ref="N19">IF(ISERROR(ROUND(SUMPRODUCT((G19:M19&lt;&gt;"")*G19:M19,$G$248:$M$248)/SUM((G19:M19&lt;&gt;"")*$G$248:$M$248),0)),"",ROUND(SUMPRODUCT((G19:M19&lt;&gt;"")*G19:M19,$G$248:$M$248)/SUM((G19:M19&lt;&gt;"")*$G$248:$M$248),0))</f>
        <v/>
      </c>
      <c r="O19" s="52"/>
      <c r="P19" s="52"/>
      <c r="Q19" s="52"/>
      <c r="R19" s="52"/>
      <c r="S19" s="62"/>
      <c r="T19" s="62"/>
      <c r="U19" s="62"/>
      <c r="V19" s="62"/>
      <c r="W19" s="62"/>
      <c r="X19" s="62"/>
      <c r="Y19" s="62"/>
      <c r="Z19" s="62"/>
    </row>
    <row r="20" ht="15" customHeight="1" spans="3:26">
      <c r="C20" s="51"/>
      <c r="D20" s="52" t="s">
        <v>92</v>
      </c>
      <c r="E20" s="58" t="s">
        <v>93</v>
      </c>
      <c r="F20" s="52" t="s">
        <v>94</v>
      </c>
      <c r="G20" s="54" t="str">
        <f>Assignments!O21</f>
        <v/>
      </c>
      <c r="H20" s="55" t="str">
        <f>Performance!AX20</f>
        <v/>
      </c>
      <c r="I20" s="52"/>
      <c r="J20" s="52">
        <v>47</v>
      </c>
      <c r="K20" s="52"/>
      <c r="L20" s="52"/>
      <c r="M20" s="52"/>
      <c r="N20" s="55" t="str" cm="1">
        <f t="array" ref="N20">IF(ISERROR(ROUND(SUMPRODUCT((G20:M20&lt;&gt;"")*G20:M20,$G$248:$M$248)/SUM((G20:M20&lt;&gt;"")*$G$248:$M$248),0)),"",ROUND(SUMPRODUCT((G20:M20&lt;&gt;"")*G20:M20,$G$248:$M$248)/SUM((G20:M20&lt;&gt;"")*$G$248:$M$248),0))</f>
        <v/>
      </c>
      <c r="O20" s="52"/>
      <c r="P20" s="52"/>
      <c r="Q20" s="52"/>
      <c r="R20" s="52"/>
      <c r="S20" s="62"/>
      <c r="T20" s="62"/>
      <c r="U20" s="62"/>
      <c r="V20" s="62"/>
      <c r="W20" s="62"/>
      <c r="X20" s="62"/>
      <c r="Y20" s="62"/>
      <c r="Z20" s="62"/>
    </row>
    <row r="21" ht="15" customHeight="1" spans="3:26">
      <c r="C21" s="51"/>
      <c r="D21" s="52" t="s">
        <v>95</v>
      </c>
      <c r="E21" s="59" t="s">
        <v>96</v>
      </c>
      <c r="F21" s="52" t="s">
        <v>97</v>
      </c>
      <c r="G21" s="54" t="str">
        <f>Assignments!O22</f>
        <v/>
      </c>
      <c r="H21" s="55" t="str">
        <f>Performance!AX21</f>
        <v/>
      </c>
      <c r="I21" s="52"/>
      <c r="J21" s="52">
        <v>88</v>
      </c>
      <c r="K21" s="52"/>
      <c r="L21" s="52"/>
      <c r="M21" s="52"/>
      <c r="N21" s="55" t="str" cm="1">
        <f t="array" ref="N21">IF(ISERROR(ROUND(SUMPRODUCT((G21:M21&lt;&gt;"")*G21:M21,$G$248:$M$248)/SUM((G21:M21&lt;&gt;"")*$G$248:$M$248),0)),"",ROUND(SUMPRODUCT((G21:M21&lt;&gt;"")*G21:M21,$G$248:$M$248)/SUM((G21:M21&lt;&gt;"")*$G$248:$M$248),0))</f>
        <v/>
      </c>
      <c r="O21" s="52"/>
      <c r="P21" s="52"/>
      <c r="Q21" s="52"/>
      <c r="R21" s="52"/>
      <c r="S21" s="62"/>
      <c r="T21" s="62"/>
      <c r="U21" s="62"/>
      <c r="V21" s="62"/>
      <c r="W21" s="62"/>
      <c r="X21" s="62"/>
      <c r="Y21" s="62"/>
      <c r="Z21" s="62"/>
    </row>
    <row r="22" ht="15" customHeight="1" spans="3:26">
      <c r="C22" s="51"/>
      <c r="D22" s="51"/>
      <c r="E22" s="60"/>
      <c r="F22" s="51"/>
      <c r="G22" s="54" t="str">
        <f>Assignments!O23</f>
        <v/>
      </c>
      <c r="H22" s="55" t="str">
        <f>Performance!AX22</f>
        <v/>
      </c>
      <c r="I22" s="52"/>
      <c r="J22" s="52"/>
      <c r="K22" s="52"/>
      <c r="L22" s="52"/>
      <c r="M22" s="52"/>
      <c r="N22" s="55" t="str" cm="1">
        <f t="array" ref="N22">IF(ISERROR(ROUND(SUMPRODUCT((G22:M22&lt;&gt;"")*G22:M22,$G$248:$M$248)/SUM((G22:M22&lt;&gt;"")*$G$248:$M$248),0)),"",ROUND(SUMPRODUCT((G22:M22&lt;&gt;"")*G22:M22,$G$248:$M$248)/SUM((G22:M22&lt;&gt;"")*$G$248:$M$248),0))</f>
        <v/>
      </c>
      <c r="O22" s="52"/>
      <c r="P22" s="52"/>
      <c r="Q22" s="52"/>
      <c r="R22" s="52"/>
      <c r="S22" s="62"/>
      <c r="T22" s="62"/>
      <c r="U22" s="62"/>
      <c r="V22" s="62"/>
      <c r="W22" s="62"/>
      <c r="X22" s="62"/>
      <c r="Y22" s="62"/>
      <c r="Z22" s="62"/>
    </row>
    <row r="23" ht="15" customHeight="1" spans="3:26">
      <c r="C23" s="51"/>
      <c r="D23" s="51"/>
      <c r="E23" s="51"/>
      <c r="F23" s="51"/>
      <c r="G23" s="54" t="str">
        <f>Assignments!O24</f>
        <v/>
      </c>
      <c r="H23" s="55" t="str">
        <f>Performance!AX23</f>
        <v/>
      </c>
      <c r="I23" s="52"/>
      <c r="J23" s="52"/>
      <c r="K23" s="52"/>
      <c r="L23" s="52"/>
      <c r="M23" s="52"/>
      <c r="N23" s="55" t="str" cm="1">
        <f t="array" ref="N23">IF(ISERROR(ROUND(SUMPRODUCT((G23:M23&lt;&gt;"")*G23:M23,$G$248:$M$248)/SUM((G23:M23&lt;&gt;"")*$G$248:$M$248),0)),"",ROUND(SUMPRODUCT((G23:M23&lt;&gt;"")*G23:M23,$G$248:$M$248)/SUM((G23:M23&lt;&gt;"")*$G$248:$M$248),0))</f>
        <v/>
      </c>
      <c r="O23" s="52"/>
      <c r="P23" s="52"/>
      <c r="Q23" s="52"/>
      <c r="R23" s="52"/>
      <c r="S23" s="62"/>
      <c r="T23" s="62"/>
      <c r="U23" s="62"/>
      <c r="V23" s="62"/>
      <c r="W23" s="62"/>
      <c r="X23" s="62"/>
      <c r="Y23" s="62"/>
      <c r="Z23" s="62"/>
    </row>
    <row r="24" spans="3:18">
      <c r="C24" s="51"/>
      <c r="D24" s="51"/>
      <c r="E24" s="51"/>
      <c r="F24" s="51"/>
      <c r="G24" s="54" t="str">
        <f>Assignments!O25</f>
        <v/>
      </c>
      <c r="H24" s="55" t="str">
        <f>Performance!AX24</f>
        <v/>
      </c>
      <c r="I24" s="52"/>
      <c r="J24" s="52"/>
      <c r="K24" s="52"/>
      <c r="L24" s="52"/>
      <c r="M24" s="52"/>
      <c r="N24" s="55" t="str" cm="1">
        <f t="array" ref="N24">IF(ISERROR(ROUND(SUMPRODUCT((G24:M24&lt;&gt;"")*G24:M24,$G$248:$M$248)/SUM((G24:M24&lt;&gt;"")*$G$248:$M$248),0)),"",ROUND(SUMPRODUCT((G24:M24&lt;&gt;"")*G24:M24,$G$248:$M$248)/SUM((G24:M24&lt;&gt;"")*$G$248:$M$248),0))</f>
        <v/>
      </c>
      <c r="O24" s="52"/>
      <c r="P24" s="52"/>
      <c r="Q24" s="52"/>
      <c r="R24" s="52"/>
    </row>
    <row r="25" spans="3:18">
      <c r="C25" s="51"/>
      <c r="D25" s="51"/>
      <c r="E25" s="51"/>
      <c r="F25" s="51"/>
      <c r="G25" s="54" t="str">
        <f>Assignments!O26</f>
        <v/>
      </c>
      <c r="H25" s="55" t="str">
        <f>Performance!AX25</f>
        <v/>
      </c>
      <c r="I25" s="51"/>
      <c r="J25" s="51"/>
      <c r="K25" s="51"/>
      <c r="L25" s="51"/>
      <c r="M25" s="51"/>
      <c r="N25" s="55" t="str" cm="1">
        <f t="array" ref="N25">IF(ISERROR(ROUND(SUMPRODUCT((G25:M25&lt;&gt;"")*G25:M25,$G$248:$M$248)/SUM((G25:M25&lt;&gt;"")*$G$248:$M$248),0)),"",ROUND(SUMPRODUCT((G25:M25&lt;&gt;"")*G25:M25,$G$248:$M$248)/SUM((G25:M25&lt;&gt;"")*$G$248:$M$248),0))</f>
        <v/>
      </c>
      <c r="O25" s="52"/>
      <c r="P25" s="52"/>
      <c r="Q25" s="52"/>
      <c r="R25" s="52"/>
    </row>
    <row r="26" spans="3:18">
      <c r="C26" s="51"/>
      <c r="D26" s="51"/>
      <c r="E26" s="51"/>
      <c r="F26" s="51"/>
      <c r="G26" s="54" t="str">
        <f>Assignments!O27</f>
        <v/>
      </c>
      <c r="H26" s="55" t="str">
        <f>Performance!AX26</f>
        <v/>
      </c>
      <c r="I26" s="51"/>
      <c r="J26" s="51"/>
      <c r="K26" s="51"/>
      <c r="L26" s="51"/>
      <c r="M26" s="51"/>
      <c r="N26" s="55" t="str" cm="1">
        <f t="array" ref="N26">IF(ISERROR(ROUND(SUMPRODUCT((G26:M26&lt;&gt;"")*G26:M26,$G$248:$M$248)/SUM((G26:M26&lt;&gt;"")*$G$248:$M$248),0)),"",ROUND(SUMPRODUCT((G26:M26&lt;&gt;"")*G26:M26,$G$248:$M$248)/SUM((G26:M26&lt;&gt;"")*$G$248:$M$248),0))</f>
        <v/>
      </c>
      <c r="O26" s="52"/>
      <c r="P26" s="52"/>
      <c r="Q26" s="52"/>
      <c r="R26" s="52"/>
    </row>
    <row r="27" spans="3:18">
      <c r="C27" s="51"/>
      <c r="D27" s="51"/>
      <c r="E27" s="51"/>
      <c r="F27" s="51"/>
      <c r="G27" s="54" t="str">
        <f>Assignments!O28</f>
        <v/>
      </c>
      <c r="H27" s="55" t="str">
        <f>Performance!AX27</f>
        <v/>
      </c>
      <c r="I27" s="51"/>
      <c r="J27" s="51"/>
      <c r="K27" s="51"/>
      <c r="L27" s="51"/>
      <c r="M27" s="51"/>
      <c r="N27" s="55" t="str" cm="1">
        <f t="array" ref="N27">IF(ISERROR(ROUND(SUMPRODUCT((G27:M27&lt;&gt;"")*G27:M27,$G$248:$M$248)/SUM((G27:M27&lt;&gt;"")*$G$248:$M$248),0)),"",ROUND(SUMPRODUCT((G27:M27&lt;&gt;"")*G27:M27,$G$248:$M$248)/SUM((G27:M27&lt;&gt;"")*$G$248:$M$248),0))</f>
        <v/>
      </c>
      <c r="O27" s="52"/>
      <c r="P27" s="52"/>
      <c r="Q27" s="52"/>
      <c r="R27" s="52"/>
    </row>
    <row r="28" spans="3:18">
      <c r="C28" s="51"/>
      <c r="D28" s="51"/>
      <c r="E28" s="51"/>
      <c r="F28" s="51"/>
      <c r="G28" s="54" t="str">
        <f>Assignments!O29</f>
        <v/>
      </c>
      <c r="H28" s="55" t="str">
        <f>Performance!AX28</f>
        <v/>
      </c>
      <c r="I28" s="51"/>
      <c r="J28" s="51"/>
      <c r="K28" s="51"/>
      <c r="L28" s="51"/>
      <c r="M28" s="51"/>
      <c r="N28" s="55" t="str" cm="1">
        <f t="array" ref="N28">IF(ISERROR(ROUND(SUMPRODUCT((G28:M28&lt;&gt;"")*G28:M28,$G$248:$M$248)/SUM((G28:M28&lt;&gt;"")*$G$248:$M$248),0)),"",ROUND(SUMPRODUCT((G28:M28&lt;&gt;"")*G28:M28,$G$248:$M$248)/SUM((G28:M28&lt;&gt;"")*$G$248:$M$248),0))</f>
        <v/>
      </c>
      <c r="O28" s="52"/>
      <c r="P28" s="52"/>
      <c r="Q28" s="52"/>
      <c r="R28" s="52"/>
    </row>
    <row r="29" spans="3:18">
      <c r="C29" s="51"/>
      <c r="D29" s="51"/>
      <c r="E29" s="51"/>
      <c r="F29" s="51"/>
      <c r="G29" s="54" t="str">
        <f>Assignments!O30</f>
        <v/>
      </c>
      <c r="H29" s="55" t="str">
        <f>Performance!AX29</f>
        <v/>
      </c>
      <c r="I29" s="51"/>
      <c r="J29" s="51"/>
      <c r="K29" s="51"/>
      <c r="L29" s="51"/>
      <c r="M29" s="51"/>
      <c r="N29" s="55" t="str" cm="1">
        <f t="array" ref="N29">IF(ISERROR(ROUND(SUMPRODUCT((G29:M29&lt;&gt;"")*G29:M29,$G$248:$M$248)/SUM((G29:M29&lt;&gt;"")*$G$248:$M$248),0)),"",ROUND(SUMPRODUCT((G29:M29&lt;&gt;"")*G29:M29,$G$248:$M$248)/SUM((G29:M29&lt;&gt;"")*$G$248:$M$248),0))</f>
        <v/>
      </c>
      <c r="O29" s="52"/>
      <c r="P29" s="52"/>
      <c r="Q29" s="52"/>
      <c r="R29" s="52"/>
    </row>
    <row r="30" spans="3:18">
      <c r="C30" s="51"/>
      <c r="D30" s="51"/>
      <c r="E30" s="51"/>
      <c r="F30" s="51"/>
      <c r="G30" s="54" t="str">
        <f>Assignments!O31</f>
        <v/>
      </c>
      <c r="H30" s="55" t="str">
        <f>Performance!AX30</f>
        <v/>
      </c>
      <c r="I30" s="51"/>
      <c r="J30" s="51"/>
      <c r="K30" s="51"/>
      <c r="L30" s="51"/>
      <c r="M30" s="51"/>
      <c r="N30" s="55" t="str" cm="1">
        <f t="array" ref="N30">IF(ISERROR(ROUND(SUMPRODUCT((G30:M30&lt;&gt;"")*G30:M30,$G$248:$M$248)/SUM((G30:M30&lt;&gt;"")*$G$248:$M$248),0)),"",ROUND(SUMPRODUCT((G30:M30&lt;&gt;"")*G30:M30,$G$248:$M$248)/SUM((G30:M30&lt;&gt;"")*$G$248:$M$248),0))</f>
        <v/>
      </c>
      <c r="O30" s="52"/>
      <c r="P30" s="52"/>
      <c r="Q30" s="52"/>
      <c r="R30" s="52"/>
    </row>
    <row r="31" spans="3:18">
      <c r="C31" s="51"/>
      <c r="D31" s="51"/>
      <c r="E31" s="51"/>
      <c r="F31" s="51"/>
      <c r="G31" s="54" t="str">
        <f>Assignments!O32</f>
        <v/>
      </c>
      <c r="H31" s="55" t="str">
        <f>Performance!AX31</f>
        <v/>
      </c>
      <c r="I31" s="51"/>
      <c r="J31" s="51"/>
      <c r="K31" s="51"/>
      <c r="L31" s="51"/>
      <c r="M31" s="51"/>
      <c r="N31" s="55" t="str" cm="1">
        <f t="array" ref="N31">IF(ISERROR(ROUND(SUMPRODUCT((G31:M31&lt;&gt;"")*G31:M31,$G$248:$M$248)/SUM((G31:M31&lt;&gt;"")*$G$248:$M$248),0)),"",ROUND(SUMPRODUCT((G31:M31&lt;&gt;"")*G31:M31,$G$248:$M$248)/SUM((G31:M31&lt;&gt;"")*$G$248:$M$248),0))</f>
        <v/>
      </c>
      <c r="O31" s="52"/>
      <c r="P31" s="52"/>
      <c r="Q31" s="52"/>
      <c r="R31" s="52"/>
    </row>
    <row r="32" spans="3:18">
      <c r="C32" s="51"/>
      <c r="D32" s="51"/>
      <c r="E32" s="51"/>
      <c r="F32" s="51"/>
      <c r="G32" s="54" t="str">
        <f>Assignments!O33</f>
        <v/>
      </c>
      <c r="H32" s="55" t="str">
        <f>Performance!AX32</f>
        <v/>
      </c>
      <c r="I32" s="51"/>
      <c r="J32" s="51"/>
      <c r="K32" s="51"/>
      <c r="L32" s="51"/>
      <c r="M32" s="51"/>
      <c r="N32" s="55" t="str" cm="1">
        <f t="array" ref="N32">IF(ISERROR(ROUND(SUMPRODUCT((G32:M32&lt;&gt;"")*G32:M32,$G$248:$M$248)/SUM((G32:M32&lt;&gt;"")*$G$248:$M$248),0)),"",ROUND(SUMPRODUCT((G32:M32&lt;&gt;"")*G32:M32,$G$248:$M$248)/SUM((G32:M32&lt;&gt;"")*$G$248:$M$248),0))</f>
        <v/>
      </c>
      <c r="O32" s="52"/>
      <c r="P32" s="52"/>
      <c r="Q32" s="52"/>
      <c r="R32" s="52"/>
    </row>
    <row r="33" spans="3:18">
      <c r="C33" s="51"/>
      <c r="D33" s="51"/>
      <c r="E33" s="51"/>
      <c r="F33" s="51"/>
      <c r="G33" s="54" t="str">
        <f>Assignments!O34</f>
        <v/>
      </c>
      <c r="H33" s="55" t="str">
        <f>Performance!AX33</f>
        <v/>
      </c>
      <c r="I33" s="51"/>
      <c r="J33" s="51"/>
      <c r="K33" s="51"/>
      <c r="L33" s="51"/>
      <c r="M33" s="51"/>
      <c r="N33" s="55" t="str" cm="1">
        <f t="array" ref="N33">IF(ISERROR(ROUND(SUMPRODUCT((G33:M33&lt;&gt;"")*G33:M33,$G$248:$M$248)/SUM((G33:M33&lt;&gt;"")*$G$248:$M$248),0)),"",ROUND(SUMPRODUCT((G33:M33&lt;&gt;"")*G33:M33,$G$248:$M$248)/SUM((G33:M33&lt;&gt;"")*$G$248:$M$248),0))</f>
        <v/>
      </c>
      <c r="O33" s="52"/>
      <c r="P33" s="52"/>
      <c r="Q33" s="52"/>
      <c r="R33" s="52"/>
    </row>
    <row r="34" spans="3:18">
      <c r="C34" s="51"/>
      <c r="D34" s="51"/>
      <c r="E34" s="51"/>
      <c r="F34" s="51"/>
      <c r="G34" s="54" t="str">
        <f>Assignments!O35</f>
        <v/>
      </c>
      <c r="H34" s="55" t="str">
        <f>Performance!AX34</f>
        <v/>
      </c>
      <c r="I34" s="51"/>
      <c r="J34" s="51"/>
      <c r="K34" s="51"/>
      <c r="L34" s="51"/>
      <c r="M34" s="51"/>
      <c r="N34" s="55" t="str" cm="1">
        <f t="array" ref="N34">IF(ISERROR(ROUND(SUMPRODUCT((G34:M34&lt;&gt;"")*G34:M34,$G$248:$M$248)/SUM((G34:M34&lt;&gt;"")*$G$248:$M$248),0)),"",ROUND(SUMPRODUCT((G34:M34&lt;&gt;"")*G34:M34,$G$248:$M$248)/SUM((G34:M34&lt;&gt;"")*$G$248:$M$248),0))</f>
        <v/>
      </c>
      <c r="O34" s="52"/>
      <c r="P34" s="52"/>
      <c r="Q34" s="52"/>
      <c r="R34" s="52"/>
    </row>
    <row r="35" spans="3:18">
      <c r="C35" s="51"/>
      <c r="D35" s="51"/>
      <c r="E35" s="51"/>
      <c r="F35" s="51"/>
      <c r="G35" s="54" t="str">
        <f>Assignments!O36</f>
        <v/>
      </c>
      <c r="H35" s="55" t="str">
        <f>Performance!AX35</f>
        <v/>
      </c>
      <c r="I35" s="51"/>
      <c r="J35" s="51"/>
      <c r="K35" s="51"/>
      <c r="L35" s="51"/>
      <c r="M35" s="51"/>
      <c r="N35" s="55" t="str" cm="1">
        <f t="array" ref="N35">IF(ISERROR(ROUND(SUMPRODUCT((G35:M35&lt;&gt;"")*G35:M35,$G$248:$M$248)/SUM((G35:M35&lt;&gt;"")*$G$248:$M$248),0)),"",ROUND(SUMPRODUCT((G35:M35&lt;&gt;"")*G35:M35,$G$248:$M$248)/SUM((G35:M35&lt;&gt;"")*$G$248:$M$248),0))</f>
        <v/>
      </c>
      <c r="O35" s="52"/>
      <c r="P35" s="52"/>
      <c r="Q35" s="52"/>
      <c r="R35" s="52"/>
    </row>
    <row r="36" spans="3:18">
      <c r="C36" s="51"/>
      <c r="D36" s="51"/>
      <c r="E36" s="51"/>
      <c r="F36" s="51"/>
      <c r="G36" s="54" t="str">
        <f>Assignments!O37</f>
        <v/>
      </c>
      <c r="H36" s="55" t="str">
        <f>Performance!AX36</f>
        <v/>
      </c>
      <c r="I36" s="51"/>
      <c r="J36" s="51"/>
      <c r="K36" s="51"/>
      <c r="L36" s="51"/>
      <c r="M36" s="51"/>
      <c r="N36" s="55" t="str" cm="1">
        <f t="array" ref="N36">IF(ISERROR(ROUND(SUMPRODUCT((G36:M36&lt;&gt;"")*G36:M36,$G$248:$M$248)/SUM((G36:M36&lt;&gt;"")*$G$248:$M$248),0)),"",ROUND(SUMPRODUCT((G36:M36&lt;&gt;"")*G36:M36,$G$248:$M$248)/SUM((G36:M36&lt;&gt;"")*$G$248:$M$248),0))</f>
        <v/>
      </c>
      <c r="O36" s="52"/>
      <c r="P36" s="52"/>
      <c r="Q36" s="52"/>
      <c r="R36" s="52"/>
    </row>
    <row r="37" spans="3:18">
      <c r="C37" s="51"/>
      <c r="D37" s="51"/>
      <c r="E37" s="51"/>
      <c r="F37" s="51"/>
      <c r="G37" s="54" t="str">
        <f>Assignments!O38</f>
        <v/>
      </c>
      <c r="H37" s="55" t="str">
        <f>Performance!AX37</f>
        <v/>
      </c>
      <c r="I37" s="51"/>
      <c r="J37" s="51"/>
      <c r="K37" s="51"/>
      <c r="L37" s="51"/>
      <c r="M37" s="51"/>
      <c r="N37" s="55" t="str" cm="1">
        <f t="array" ref="N37">IF(ISERROR(ROUND(SUMPRODUCT((G37:M37&lt;&gt;"")*G37:M37,$G$248:$M$248)/SUM((G37:M37&lt;&gt;"")*$G$248:$M$248),0)),"",ROUND(SUMPRODUCT((G37:M37&lt;&gt;"")*G37:M37,$G$248:$M$248)/SUM((G37:M37&lt;&gt;"")*$G$248:$M$248),0))</f>
        <v/>
      </c>
      <c r="O37" s="52"/>
      <c r="P37" s="52"/>
      <c r="Q37" s="52"/>
      <c r="R37" s="52"/>
    </row>
    <row r="38" spans="3:18">
      <c r="C38" s="51"/>
      <c r="D38" s="51"/>
      <c r="E38" s="51"/>
      <c r="F38" s="51"/>
      <c r="G38" s="54" t="str">
        <f>Assignments!O39</f>
        <v/>
      </c>
      <c r="H38" s="55" t="str">
        <f>Performance!AX38</f>
        <v/>
      </c>
      <c r="I38" s="51"/>
      <c r="J38" s="51"/>
      <c r="K38" s="51"/>
      <c r="L38" s="51"/>
      <c r="M38" s="51"/>
      <c r="N38" s="55" t="str" cm="1">
        <f t="array" ref="N38">IF(ISERROR(ROUND(SUMPRODUCT((G38:M38&lt;&gt;"")*G38:M38,$G$248:$M$248)/SUM((G38:M38&lt;&gt;"")*$G$248:$M$248),0)),"",ROUND(SUMPRODUCT((G38:M38&lt;&gt;"")*G38:M38,$G$248:$M$248)/SUM((G38:M38&lt;&gt;"")*$G$248:$M$248),0))</f>
        <v/>
      </c>
      <c r="O38" s="52"/>
      <c r="P38" s="52"/>
      <c r="Q38" s="52"/>
      <c r="R38" s="52"/>
    </row>
    <row r="39" spans="3:18">
      <c r="C39" s="51"/>
      <c r="D39" s="51"/>
      <c r="E39" s="51"/>
      <c r="F39" s="51"/>
      <c r="G39" s="54" t="str">
        <f>Assignments!O40</f>
        <v/>
      </c>
      <c r="H39" s="55" t="str">
        <f>Performance!AX39</f>
        <v/>
      </c>
      <c r="I39" s="51"/>
      <c r="J39" s="51"/>
      <c r="K39" s="51"/>
      <c r="L39" s="51"/>
      <c r="M39" s="51"/>
      <c r="N39" s="55" t="str" cm="1">
        <f t="array" ref="N39">IF(ISERROR(ROUND(SUMPRODUCT((G39:M39&lt;&gt;"")*G39:M39,$G$248:$M$248)/SUM((G39:M39&lt;&gt;"")*$G$248:$M$248),0)),"",ROUND(SUMPRODUCT((G39:M39&lt;&gt;"")*G39:M39,$G$248:$M$248)/SUM((G39:M39&lt;&gt;"")*$G$248:$M$248),0))</f>
        <v/>
      </c>
      <c r="O39" s="52"/>
      <c r="P39" s="52"/>
      <c r="Q39" s="52"/>
      <c r="R39" s="52"/>
    </row>
    <row r="40" spans="3:18">
      <c r="C40" s="51"/>
      <c r="D40" s="51"/>
      <c r="E40" s="51"/>
      <c r="F40" s="51"/>
      <c r="G40" s="54" t="str">
        <f>Assignments!O41</f>
        <v/>
      </c>
      <c r="H40" s="55" t="str">
        <f>Performance!AX40</f>
        <v/>
      </c>
      <c r="I40" s="51"/>
      <c r="J40" s="51"/>
      <c r="K40" s="51"/>
      <c r="L40" s="51"/>
      <c r="M40" s="51"/>
      <c r="N40" s="55" t="str" cm="1">
        <f t="array" ref="N40">IF(ISERROR(ROUND(SUMPRODUCT((G40:M40&lt;&gt;"")*G40:M40,$G$248:$M$248)/SUM((G40:M40&lt;&gt;"")*$G$248:$M$248),0)),"",ROUND(SUMPRODUCT((G40:M40&lt;&gt;"")*G40:M40,$G$248:$M$248)/SUM((G40:M40&lt;&gt;"")*$G$248:$M$248),0))</f>
        <v/>
      </c>
      <c r="O40" s="52"/>
      <c r="P40" s="52"/>
      <c r="Q40" s="52"/>
      <c r="R40" s="52"/>
    </row>
    <row r="41" spans="3:18">
      <c r="C41" s="51"/>
      <c r="D41" s="51"/>
      <c r="E41" s="51"/>
      <c r="F41" s="51"/>
      <c r="G41" s="54" t="str">
        <f>Assignments!O42</f>
        <v/>
      </c>
      <c r="H41" s="55" t="str">
        <f>Performance!AX41</f>
        <v/>
      </c>
      <c r="I41" s="51"/>
      <c r="J41" s="51"/>
      <c r="K41" s="51"/>
      <c r="L41" s="51"/>
      <c r="M41" s="51"/>
      <c r="N41" s="55" t="str" cm="1">
        <f t="array" ref="N41">IF(ISERROR(ROUND(SUMPRODUCT((G41:M41&lt;&gt;"")*G41:M41,$G$248:$M$248)/SUM((G41:M41&lt;&gt;"")*$G$248:$M$248),0)),"",ROUND(SUMPRODUCT((G41:M41&lt;&gt;"")*G41:M41,$G$248:$M$248)/SUM((G41:M41&lt;&gt;"")*$G$248:$M$248),0))</f>
        <v/>
      </c>
      <c r="O41" s="52"/>
      <c r="P41" s="52"/>
      <c r="Q41" s="52"/>
      <c r="R41" s="52"/>
    </row>
    <row r="42" spans="3:18">
      <c r="C42" s="51"/>
      <c r="D42" s="51"/>
      <c r="E42" s="51"/>
      <c r="F42" s="51"/>
      <c r="G42" s="54" t="str">
        <f>Assignments!O43</f>
        <v/>
      </c>
      <c r="H42" s="55" t="str">
        <f>Performance!AX42</f>
        <v/>
      </c>
      <c r="I42" s="51"/>
      <c r="J42" s="51"/>
      <c r="K42" s="51"/>
      <c r="L42" s="51"/>
      <c r="M42" s="51"/>
      <c r="N42" s="55" t="str" cm="1">
        <f t="array" ref="N42">IF(ISERROR(ROUND(SUMPRODUCT((G42:M42&lt;&gt;"")*G42:M42,$G$248:$M$248)/SUM((G42:M42&lt;&gt;"")*$G$248:$M$248),0)),"",ROUND(SUMPRODUCT((G42:M42&lt;&gt;"")*G42:M42,$G$248:$M$248)/SUM((G42:M42&lt;&gt;"")*$G$248:$M$248),0))</f>
        <v/>
      </c>
      <c r="O42" s="52"/>
      <c r="P42" s="52"/>
      <c r="Q42" s="52"/>
      <c r="R42" s="52"/>
    </row>
    <row r="43" spans="3:18">
      <c r="C43" s="51"/>
      <c r="D43" s="51"/>
      <c r="E43" s="51"/>
      <c r="F43" s="51"/>
      <c r="G43" s="54" t="str">
        <f>Assignments!O44</f>
        <v/>
      </c>
      <c r="H43" s="55" t="str">
        <f>Performance!AX43</f>
        <v/>
      </c>
      <c r="I43" s="51"/>
      <c r="J43" s="51"/>
      <c r="K43" s="51"/>
      <c r="L43" s="51"/>
      <c r="M43" s="51"/>
      <c r="N43" s="55" t="str" cm="1">
        <f t="array" ref="N43">IF(ISERROR(ROUND(SUMPRODUCT((G43:M43&lt;&gt;"")*G43:M43,$G$248:$M$248)/SUM((G43:M43&lt;&gt;"")*$G$248:$M$248),0)),"",ROUND(SUMPRODUCT((G43:M43&lt;&gt;"")*G43:M43,$G$248:$M$248)/SUM((G43:M43&lt;&gt;"")*$G$248:$M$248),0))</f>
        <v/>
      </c>
      <c r="O43" s="52"/>
      <c r="P43" s="52"/>
      <c r="Q43" s="52"/>
      <c r="R43" s="52"/>
    </row>
    <row r="44" spans="3:18">
      <c r="C44" s="51"/>
      <c r="D44" s="51"/>
      <c r="E44" s="51"/>
      <c r="F44" s="51"/>
      <c r="G44" s="54" t="str">
        <f>Assignments!O45</f>
        <v/>
      </c>
      <c r="H44" s="55" t="str">
        <f>Performance!AX44</f>
        <v/>
      </c>
      <c r="I44" s="51"/>
      <c r="J44" s="51"/>
      <c r="K44" s="51"/>
      <c r="L44" s="51"/>
      <c r="M44" s="51"/>
      <c r="N44" s="55" t="str" cm="1">
        <f t="array" ref="N44">IF(ISERROR(ROUND(SUMPRODUCT((G44:M44&lt;&gt;"")*G44:M44,$G$248:$M$248)/SUM((G44:M44&lt;&gt;"")*$G$248:$M$248),0)),"",ROUND(SUMPRODUCT((G44:M44&lt;&gt;"")*G44:M44,$G$248:$M$248)/SUM((G44:M44&lt;&gt;"")*$G$248:$M$248),0))</f>
        <v/>
      </c>
      <c r="O44" s="52"/>
      <c r="P44" s="52"/>
      <c r="Q44" s="52"/>
      <c r="R44" s="52"/>
    </row>
    <row r="45" spans="3:18">
      <c r="C45" s="51"/>
      <c r="D45" s="51"/>
      <c r="E45" s="51"/>
      <c r="F45" s="51"/>
      <c r="G45" s="54" t="str">
        <f>Assignments!O46</f>
        <v/>
      </c>
      <c r="H45" s="55" t="str">
        <f>Performance!AX45</f>
        <v/>
      </c>
      <c r="I45" s="51"/>
      <c r="J45" s="51"/>
      <c r="K45" s="51"/>
      <c r="L45" s="51"/>
      <c r="M45" s="51"/>
      <c r="N45" s="55" t="str" cm="1">
        <f t="array" ref="N45">IF(ISERROR(ROUND(SUMPRODUCT((G45:M45&lt;&gt;"")*G45:M45,$G$248:$M$248)/SUM((G45:M45&lt;&gt;"")*$G$248:$M$248),0)),"",ROUND(SUMPRODUCT((G45:M45&lt;&gt;"")*G45:M45,$G$248:$M$248)/SUM((G45:M45&lt;&gt;"")*$G$248:$M$248),0))</f>
        <v/>
      </c>
      <c r="O45" s="52"/>
      <c r="P45" s="52"/>
      <c r="Q45" s="52"/>
      <c r="R45" s="52"/>
    </row>
    <row r="46" spans="3:18">
      <c r="C46" s="51"/>
      <c r="D46" s="51"/>
      <c r="E46" s="51"/>
      <c r="F46" s="51"/>
      <c r="G46" s="54" t="str">
        <f>Assignments!O47</f>
        <v/>
      </c>
      <c r="H46" s="55" t="str">
        <f>Performance!AX46</f>
        <v/>
      </c>
      <c r="I46" s="51"/>
      <c r="J46" s="51"/>
      <c r="K46" s="51"/>
      <c r="L46" s="51"/>
      <c r="M46" s="51"/>
      <c r="N46" s="55" t="str" cm="1">
        <f t="array" ref="N46">IF(ISERROR(ROUND(SUMPRODUCT((G46:M46&lt;&gt;"")*G46:M46,$G$248:$M$248)/SUM((G46:M46&lt;&gt;"")*$G$248:$M$248),0)),"",ROUND(SUMPRODUCT((G46:M46&lt;&gt;"")*G46:M46,$G$248:$M$248)/SUM((G46:M46&lt;&gt;"")*$G$248:$M$248),0))</f>
        <v/>
      </c>
      <c r="O46" s="52"/>
      <c r="P46" s="52"/>
      <c r="Q46" s="52"/>
      <c r="R46" s="52"/>
    </row>
    <row r="47" spans="3:18">
      <c r="C47" s="51"/>
      <c r="D47" s="51"/>
      <c r="E47" s="51"/>
      <c r="F47" s="51"/>
      <c r="G47" s="54" t="str">
        <f>Assignments!O48</f>
        <v/>
      </c>
      <c r="H47" s="55" t="str">
        <f>Performance!AX47</f>
        <v/>
      </c>
      <c r="I47" s="51"/>
      <c r="J47" s="51"/>
      <c r="K47" s="51"/>
      <c r="L47" s="51"/>
      <c r="M47" s="51"/>
      <c r="N47" s="55" t="str" cm="1">
        <f t="array" ref="N47">IF(ISERROR(ROUND(SUMPRODUCT((G47:M47&lt;&gt;"")*G47:M47,$G$248:$M$248)/SUM((G47:M47&lt;&gt;"")*$G$248:$M$248),0)),"",ROUND(SUMPRODUCT((G47:M47&lt;&gt;"")*G47:M47,$G$248:$M$248)/SUM((G47:M47&lt;&gt;"")*$G$248:$M$248),0))</f>
        <v/>
      </c>
      <c r="O47" s="52"/>
      <c r="P47" s="52"/>
      <c r="Q47" s="52"/>
      <c r="R47" s="52"/>
    </row>
    <row r="48" spans="3:18">
      <c r="C48" s="51"/>
      <c r="D48" s="51"/>
      <c r="E48" s="51"/>
      <c r="F48" s="51"/>
      <c r="G48" s="54" t="str">
        <f>Assignments!O49</f>
        <v/>
      </c>
      <c r="H48" s="55" t="str">
        <f>Performance!AX48</f>
        <v/>
      </c>
      <c r="I48" s="51"/>
      <c r="J48" s="51"/>
      <c r="K48" s="51"/>
      <c r="L48" s="51"/>
      <c r="M48" s="51"/>
      <c r="N48" s="55" t="str" cm="1">
        <f t="array" ref="N48">IF(ISERROR(ROUND(SUMPRODUCT((G48:M48&lt;&gt;"")*G48:M48,$G$248:$M$248)/SUM((G48:M48&lt;&gt;"")*$G$248:$M$248),0)),"",ROUND(SUMPRODUCT((G48:M48&lt;&gt;"")*G48:M48,$G$248:$M$248)/SUM((G48:M48&lt;&gt;"")*$G$248:$M$248),0))</f>
        <v/>
      </c>
      <c r="O48" s="52"/>
      <c r="P48" s="52"/>
      <c r="Q48" s="52"/>
      <c r="R48" s="52"/>
    </row>
    <row r="49" spans="3:18">
      <c r="C49" s="51"/>
      <c r="D49" s="51"/>
      <c r="E49" s="51"/>
      <c r="F49" s="51"/>
      <c r="G49" s="54" t="str">
        <f>Assignments!O50</f>
        <v/>
      </c>
      <c r="H49" s="55" t="str">
        <f>Performance!AX49</f>
        <v/>
      </c>
      <c r="I49" s="51"/>
      <c r="J49" s="51"/>
      <c r="K49" s="51"/>
      <c r="L49" s="51"/>
      <c r="M49" s="51"/>
      <c r="N49" s="55" t="str" cm="1">
        <f t="array" ref="N49">IF(ISERROR(ROUND(SUMPRODUCT((G49:M49&lt;&gt;"")*G49:M49,$G$248:$M$248)/SUM((G49:M49&lt;&gt;"")*$G$248:$M$248),0)),"",ROUND(SUMPRODUCT((G49:M49&lt;&gt;"")*G49:M49,$G$248:$M$248)/SUM((G49:M49&lt;&gt;"")*$G$248:$M$248),0))</f>
        <v/>
      </c>
      <c r="O49" s="52"/>
      <c r="P49" s="52"/>
      <c r="Q49" s="52"/>
      <c r="R49" s="52"/>
    </row>
    <row r="50" spans="3:18">
      <c r="C50" s="51"/>
      <c r="D50" s="51"/>
      <c r="E50" s="51"/>
      <c r="F50" s="51"/>
      <c r="G50" s="54" t="str">
        <f>Assignments!O51</f>
        <v/>
      </c>
      <c r="H50" s="55" t="str">
        <f>Performance!AX50</f>
        <v/>
      </c>
      <c r="I50" s="51"/>
      <c r="J50" s="51"/>
      <c r="K50" s="51"/>
      <c r="L50" s="51"/>
      <c r="M50" s="51"/>
      <c r="N50" s="55" t="str" cm="1">
        <f t="array" ref="N50">IF(ISERROR(ROUND(SUMPRODUCT((G50:M50&lt;&gt;"")*G50:M50,$G$248:$M$248)/SUM((G50:M50&lt;&gt;"")*$G$248:$M$248),0)),"",ROUND(SUMPRODUCT((G50:M50&lt;&gt;"")*G50:M50,$G$248:$M$248)/SUM((G50:M50&lt;&gt;"")*$G$248:$M$248),0))</f>
        <v/>
      </c>
      <c r="O50" s="52"/>
      <c r="P50" s="52"/>
      <c r="Q50" s="52"/>
      <c r="R50" s="52"/>
    </row>
    <row r="51" spans="3:18">
      <c r="C51" s="51"/>
      <c r="D51" s="51"/>
      <c r="E51" s="51"/>
      <c r="F51" s="51"/>
      <c r="G51" s="54" t="str">
        <f>Assignments!O52</f>
        <v/>
      </c>
      <c r="H51" s="55" t="str">
        <f>Performance!AX51</f>
        <v/>
      </c>
      <c r="I51" s="51"/>
      <c r="J51" s="51"/>
      <c r="K51" s="51"/>
      <c r="L51" s="51"/>
      <c r="M51" s="51"/>
      <c r="N51" s="55" t="str" cm="1">
        <f t="array" ref="N51">IF(ISERROR(ROUND(SUMPRODUCT((G51:M51&lt;&gt;"")*G51:M51,$G$248:$M$248)/SUM((G51:M51&lt;&gt;"")*$G$248:$M$248),0)),"",ROUND(SUMPRODUCT((G51:M51&lt;&gt;"")*G51:M51,$G$248:$M$248)/SUM((G51:M51&lt;&gt;"")*$G$248:$M$248),0))</f>
        <v/>
      </c>
      <c r="O51" s="52"/>
      <c r="P51" s="52"/>
      <c r="Q51" s="52"/>
      <c r="R51" s="52"/>
    </row>
    <row r="52" spans="3:18">
      <c r="C52" s="51"/>
      <c r="D52" s="51"/>
      <c r="E52" s="51"/>
      <c r="F52" s="51"/>
      <c r="G52" s="54" t="str">
        <f>Assignments!O53</f>
        <v/>
      </c>
      <c r="H52" s="55" t="str">
        <f>Performance!AX52</f>
        <v/>
      </c>
      <c r="I52" s="51"/>
      <c r="J52" s="51"/>
      <c r="K52" s="51"/>
      <c r="L52" s="51"/>
      <c r="M52" s="51"/>
      <c r="N52" s="55" t="str" cm="1">
        <f t="array" ref="N52">IF(ISERROR(ROUND(SUMPRODUCT((G52:M52&lt;&gt;"")*G52:M52,$G$248:$M$248)/SUM((G52:M52&lt;&gt;"")*$G$248:$M$248),0)),"",ROUND(SUMPRODUCT((G52:M52&lt;&gt;"")*G52:M52,$G$248:$M$248)/SUM((G52:M52&lt;&gt;"")*$G$248:$M$248),0))</f>
        <v/>
      </c>
      <c r="O52" s="52"/>
      <c r="P52" s="52"/>
      <c r="Q52" s="52"/>
      <c r="R52" s="52"/>
    </row>
    <row r="53" spans="3:18">
      <c r="C53" s="51"/>
      <c r="D53" s="51"/>
      <c r="E53" s="51"/>
      <c r="F53" s="51"/>
      <c r="G53" s="54">
        <f>Assignments!O54</f>
        <v>0</v>
      </c>
      <c r="H53" s="55">
        <f>Performance!AX53</f>
        <v>0</v>
      </c>
      <c r="I53" s="51"/>
      <c r="J53" s="51"/>
      <c r="K53" s="51"/>
      <c r="L53" s="51"/>
      <c r="M53" s="51"/>
      <c r="N53" s="55" cm="1">
        <f t="array" ref="N53">IF(ISERROR(ROUND(SUMPRODUCT((G53:M53&lt;&gt;"")*G53:M53,$G$248:$M$248)/SUM((G53:M53&lt;&gt;"")*$G$248:$M$248),0)),"",ROUND(SUMPRODUCT((G53:M53&lt;&gt;"")*G53:M53,$G$248:$M$248)/SUM((G53:M53&lt;&gt;"")*$G$248:$M$248),0))</f>
        <v>0</v>
      </c>
      <c r="O53" s="52"/>
      <c r="P53" s="52"/>
      <c r="Q53" s="52"/>
      <c r="R53" s="52"/>
    </row>
    <row r="168" ht="13.5" customHeight="1"/>
    <row r="248" hidden="1" spans="7:13">
      <c r="G248">
        <v>0.2</v>
      </c>
      <c r="H248">
        <v>0.1</v>
      </c>
      <c r="I248">
        <v>0.1</v>
      </c>
      <c r="J248">
        <v>0.1</v>
      </c>
      <c r="K248">
        <v>0.15</v>
      </c>
      <c r="L248">
        <v>0.1</v>
      </c>
      <c r="M248">
        <v>0.25</v>
      </c>
    </row>
  </sheetData>
  <pageMargins left="0.7" right="0.7" top="0.75" bottom="0.75" header="0.3" footer="0.3"/>
  <pageSetup paperSize="9" orientation="portrait" horizontalDpi="1200" verticalDpi="1200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8:H23"/>
  <sheetViews>
    <sheetView showGridLines="0" zoomScale="110" zoomScaleNormal="110" topLeftCell="A4" workbookViewId="0">
      <selection activeCell="J15" sqref="J15"/>
    </sheetView>
  </sheetViews>
  <sheetFormatPr defaultColWidth="8.7787610619469" defaultRowHeight="13.85" outlineLevelCol="7"/>
  <cols>
    <col min="7" max="7" width="10.6637168141593" customWidth="1"/>
  </cols>
  <sheetData>
    <row r="8" spans="7:7">
      <c r="G8" s="45"/>
    </row>
    <row r="23" spans="8:8">
      <c r="H23" s="46"/>
    </row>
  </sheetData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r:id="rId4" print="0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14</xdr:col>
                <xdr:colOff>0</xdr:colOff>
                <xdr:row>5</xdr:row>
                <xdr:rowOff>129540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r:id="rId6" print="0">
            <anchor moveWithCells="1">
              <from>
                <xdr:col>12</xdr:col>
                <xdr:colOff>0</xdr:colOff>
                <xdr:row>9</xdr:row>
                <xdr:rowOff>0</xdr:rowOff>
              </from>
              <to>
                <xdr:col>14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6146" r:id="rId5" name="CommandButton2"/>
      </mc:Fallback>
    </mc:AlternateContent>
    <mc:AlternateContent xmlns:mc="http://schemas.openxmlformats.org/markup-compatibility/2006">
      <mc:Choice Requires="x14">
        <control shapeId="6147" r:id="rId7" name="CommandButton3">
          <controlPr defaultSize="0" r:id="rId8" prin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11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6147" r:id="rId7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outlinePr showOutlineSymbols="0"/>
    <pageSetUpPr autoPageBreaks="0"/>
  </sheetPr>
  <dimension ref="A1:E54"/>
  <sheetViews>
    <sheetView showGridLines="0" zoomScale="150" zoomScaleNormal="150" workbookViewId="0">
      <selection activeCell="A15" sqref="A15"/>
    </sheetView>
  </sheetViews>
  <sheetFormatPr defaultColWidth="8.88495575221239" defaultRowHeight="14.25" outlineLevelCol="4"/>
  <cols>
    <col min="1" max="1" width="19.6637168141593" style="1" customWidth="1"/>
    <col min="2" max="2" width="41.1061946902655" style="1" customWidth="1"/>
    <col min="3" max="3" width="6.2212389380531" style="1" customWidth="1"/>
    <col min="4" max="4" width="6.33628318584071" style="1" customWidth="1"/>
    <col min="5" max="5" width="9.66371681415929" style="1" customWidth="1"/>
    <col min="6" max="6" width="8.88495575221239" style="2"/>
    <col min="7" max="16384" width="8.88495575221239" style="1"/>
  </cols>
  <sheetData>
    <row r="1" spans="1:1">
      <c r="A1" s="3" t="s">
        <v>98</v>
      </c>
    </row>
    <row r="6" spans="4:5">
      <c r="D6" s="4"/>
      <c r="E6" s="5" t="s">
        <v>99</v>
      </c>
    </row>
    <row r="7" spans="2:5">
      <c r="B7" s="6"/>
      <c r="C7" s="6"/>
      <c r="D7" s="4"/>
      <c r="E7" s="7" t="str">
        <f ca="1">"Printed: "&amp;TEXT(TODAY(),"[$-en-US]d mmm. yy;@")</f>
        <v>Printed: 22 Oct. 25</v>
      </c>
    </row>
    <row r="8" ht="21.75" hidden="1" spans="1:5">
      <c r="A8" s="8"/>
      <c r="B8" s="8"/>
      <c r="C8" s="8"/>
      <c r="D8" s="8"/>
      <c r="E8" s="9" t="s">
        <v>100</v>
      </c>
    </row>
    <row r="9" ht="16.5" hidden="1" spans="1:2">
      <c r="A9" s="10" t="s">
        <v>101</v>
      </c>
      <c r="B9" s="11"/>
    </row>
    <row r="10" ht="15.75" spans="1:2">
      <c r="A10" s="12" t="e">
        <f>A9&amp;" "&amp;VLOOKUP(A9,'Grade book'!$D:$F,3,FALSE)</f>
        <v>#N/A</v>
      </c>
      <c r="B10" s="11"/>
    </row>
    <row r="11" ht="13.8" customHeight="1" spans="1:5">
      <c r="A11" s="13" t="str">
        <f>'Grade book'!D1</f>
        <v>Math G10 C2</v>
      </c>
      <c r="B11" s="14"/>
      <c r="C11" s="15"/>
      <c r="D11" s="15"/>
      <c r="E11" s="15"/>
    </row>
    <row r="12" ht="13.8" hidden="1" customHeight="1" spans="1:5">
      <c r="A12" s="16"/>
      <c r="B12" s="17"/>
      <c r="C12" s="18"/>
      <c r="D12" s="18"/>
      <c r="E12" s="18"/>
    </row>
    <row r="13" ht="13.8" customHeight="1" spans="1:2">
      <c r="A13" s="19" t="str">
        <f>A11</f>
        <v>Math G10 C2</v>
      </c>
      <c r="B13" s="20"/>
    </row>
    <row r="14" ht="13.8" customHeight="1" spans="1:2">
      <c r="A14" s="21" t="str">
        <f>"Teacher: "&amp;'Grade book'!F1</f>
        <v>Teacher: Shi Feng</v>
      </c>
      <c r="B14" s="20"/>
    </row>
    <row r="15" ht="13.8" customHeight="1" spans="1:2">
      <c r="A15" s="22" t="s">
        <v>102</v>
      </c>
      <c r="B15" s="20"/>
    </row>
    <row r="16" ht="11.4" hidden="1" customHeight="1" spans="1:2">
      <c r="A16" s="19"/>
      <c r="B16" s="11"/>
    </row>
    <row r="17" hidden="1" spans="1:2">
      <c r="A17" s="23"/>
      <c r="B17" s="24"/>
    </row>
    <row r="18" ht="21" spans="1:2">
      <c r="A18" s="25" t="s">
        <v>103</v>
      </c>
      <c r="B18" s="26" t="s">
        <v>104</v>
      </c>
    </row>
    <row r="19" ht="4.2" customHeight="1" spans="1:2">
      <c r="A19" s="25"/>
      <c r="B19" s="26"/>
    </row>
    <row r="20" spans="1:2">
      <c r="A20" s="27" t="s">
        <v>105</v>
      </c>
      <c r="B20" s="28" t="e">
        <f>IF(INDEX('Grade book'!$N$3:$N$53,MATCH($A$9,'Grade book'!$D$3:$D$53,0))&gt;=86,"A",IF(INDEX('Grade book'!$N$3:$N$53,MATCH($A$9,'Grade book'!$D$3:$D$53,0))&gt;=73,"B",IF(INDEX('Grade book'!$N$3:$N$53,MATCH($A$9,'Grade book'!$D$3:$D$53,0))&gt;=67,"C+",IF(INDEX('Grade book'!$N$3:$N$53,MATCH($A$9,'Grade book'!$D$3:$D$53,0))&gt;=60,"C",IF(INDEX('Grade book'!$N$3:$N$53,MATCH($A$9,'Grade book'!$D$3:$D$53,0))&gt;=50,"C-","F")))))&amp;"("&amp;INDEX('Grade book'!$N$3:$N$53,MATCH($A$9,'Grade book'!$D$3:$D$53,0))&amp;")"</f>
        <v>#N/A</v>
      </c>
    </row>
    <row r="21" ht="15.75" spans="1:5">
      <c r="A21" s="29" t="s">
        <v>106</v>
      </c>
      <c r="B21" s="29"/>
      <c r="C21" s="11"/>
      <c r="D21" s="11"/>
      <c r="E21" s="11"/>
    </row>
    <row r="22" spans="1:5">
      <c r="A22" s="24" t="s">
        <v>1</v>
      </c>
      <c r="B22" s="24" t="s">
        <v>107</v>
      </c>
      <c r="C22" s="24" t="s">
        <v>108</v>
      </c>
      <c r="D22" s="30" t="s">
        <v>109</v>
      </c>
      <c r="E22" s="24"/>
    </row>
    <row r="23" ht="15.75" spans="1:5">
      <c r="A23" s="31">
        <f>IF(AND(ISNUMBER(Assignments!E1),Assignments!E1&gt;40000),Assignments!E1,"")</f>
        <v>45695</v>
      </c>
      <c r="B23" s="24" t="str">
        <f>IF(ISNUMBER(A23),Assignments!E2,"")</f>
        <v>Assignment 1</v>
      </c>
      <c r="C23" s="32" t="str">
        <f>IF(ISNUMBER(A23),"1.0 x","")</f>
        <v>1.0 x</v>
      </c>
      <c r="D23" s="21" t="e">
        <f>IF(ISNUMBER(A23),INDEX(Assignments!$E$4:$E$53,MATCH($A$9,Assignments!$B$4:$B$53,0)),"")</f>
        <v>#N/A</v>
      </c>
      <c r="E23" s="11"/>
    </row>
    <row r="24" ht="15.75" spans="1:5">
      <c r="A24" s="31">
        <f>IF(AND(ISNUMBER(Assignments!F1),Assignments!F1&gt;40000),Assignments!F1,"")</f>
        <v>45716</v>
      </c>
      <c r="B24" s="24" t="str">
        <f>IF(ISNUMBER(A24),Assignments!F2,"")</f>
        <v>Assignment 2</v>
      </c>
      <c r="C24" s="32" t="str">
        <f t="shared" ref="C24:C32" si="0">IF(ISNUMBER(A24),"1.0 x","")</f>
        <v>1.0 x</v>
      </c>
      <c r="D24" s="21" t="e">
        <f>IF(ISNUMBER(A24),INDEX(Assignments!$F$4:$F$53,MATCH($A$9,Assignments!$B$4:$B$53,0)),"")</f>
        <v>#N/A</v>
      </c>
      <c r="E24" s="11"/>
    </row>
    <row r="25" ht="15.75" spans="1:5">
      <c r="A25" s="31" t="str">
        <f>IF(AND(ISNUMBER(Assignments!G1),Assignments!G1&gt;40000),Assignments!G1,"")</f>
        <v/>
      </c>
      <c r="B25" s="24" t="str">
        <f>IF(ISNUMBER(A25),Assignments!G2,"")</f>
        <v/>
      </c>
      <c r="C25" s="32" t="str">
        <f t="shared" si="0"/>
        <v/>
      </c>
      <c r="D25" s="21" t="str">
        <f>IF(ISNUMBER(A25),INDEX(Assignments!$G$4:$G$53,MATCH($A$9,Assignments!$B$4:$B$53,0)),"")</f>
        <v/>
      </c>
      <c r="E25" s="11"/>
    </row>
    <row r="26" ht="15.75" spans="1:5">
      <c r="A26" s="31" t="str">
        <f>IF(AND(ISNUMBER(Assignments!H1),Assignments!H1&gt;40000),Assignments!H1,"")</f>
        <v/>
      </c>
      <c r="B26" s="24" t="str">
        <f>IF(ISNUMBER(A26),Assignments!H2,"")</f>
        <v/>
      </c>
      <c r="C26" s="32" t="str">
        <f t="shared" si="0"/>
        <v/>
      </c>
      <c r="D26" s="21" t="str">
        <f>IF(ISNUMBER(A26),INDEX(Assignments!$H$4:$H$53,MATCH($A$9,Assignments!$B$4:$B$53,0)),"")</f>
        <v/>
      </c>
      <c r="E26" s="11"/>
    </row>
    <row r="27" ht="15.75" spans="1:5">
      <c r="A27" s="31" t="str">
        <f>IF(AND(ISNUMBER(Assignments!I1),Assignments!I1&gt;40000),Assignments!I1,"")</f>
        <v/>
      </c>
      <c r="B27" s="24" t="str">
        <f>IF(ISNUMBER(A27),Assignments!I2,"")</f>
        <v/>
      </c>
      <c r="C27" s="32" t="str">
        <f t="shared" si="0"/>
        <v/>
      </c>
      <c r="D27" s="21" t="str">
        <f>IF(ISNUMBER(A27),INDEX(Assignments!$I$4:$I$53,MATCH($A$9,Assignments!$B$4:$B$53,0)),"")</f>
        <v/>
      </c>
      <c r="E27" s="11"/>
    </row>
    <row r="28" ht="15.75" spans="1:5">
      <c r="A28" s="31" t="str">
        <f>IF(AND(ISNUMBER(Assignments!J1),Assignments!J1&gt;40000),Assignments!J1,"")</f>
        <v/>
      </c>
      <c r="B28" s="24" t="str">
        <f>IF(ISNUMBER(A28),Assignments!J2,"")</f>
        <v/>
      </c>
      <c r="C28" s="32" t="str">
        <f t="shared" si="0"/>
        <v/>
      </c>
      <c r="D28" s="21" t="str">
        <f>IF(ISNUMBER(A28),INDEX(Assignments!$J$4:$J$53,MATCH($A$9,Assignments!$B$4:$B$53,0)),"")</f>
        <v/>
      </c>
      <c r="E28" s="11"/>
    </row>
    <row r="29" ht="15.75" spans="1:5">
      <c r="A29" s="31" t="str">
        <f>IF(AND(ISNUMBER(Assignments!K1),Assignments!K1&gt;40000),Assignments!K1,"")</f>
        <v/>
      </c>
      <c r="B29" s="24" t="str">
        <f>IF(ISNUMBER(A29),Assignments!K2,"")</f>
        <v/>
      </c>
      <c r="C29" s="32" t="str">
        <f t="shared" si="0"/>
        <v/>
      </c>
      <c r="D29" s="21" t="str">
        <f>IF(ISNUMBER(A29),INDEX(Assignments!$K$4:$K$53,MATCH($A$9,Assignments!$B$4:$B$53,0)),"")</f>
        <v/>
      </c>
      <c r="E29" s="11"/>
    </row>
    <row r="30" ht="15.75" spans="1:5">
      <c r="A30" s="31" t="str">
        <f>IF(AND(ISNUMBER(Assignments!L1),Assignments!L1&gt;40000),Assignments!L1,"")</f>
        <v/>
      </c>
      <c r="B30" s="24" t="str">
        <f>IF(ISNUMBER(A30),Assignments!L2,"")</f>
        <v/>
      </c>
      <c r="C30" s="32" t="str">
        <f t="shared" si="0"/>
        <v/>
      </c>
      <c r="D30" s="21" t="str">
        <f>IF(ISNUMBER(A30),INDEX(Assignments!$L$4:$L$53,MATCH($A$9,Assignments!$B$4:$B$53,0)),"")</f>
        <v/>
      </c>
      <c r="E30" s="11"/>
    </row>
    <row r="31" ht="15.75" spans="1:5">
      <c r="A31" s="31" t="str">
        <f>IF(AND(ISNUMBER(Assignments!M1),Assignments!M1&gt;40000),Assignments!M1,"")</f>
        <v/>
      </c>
      <c r="B31" s="24" t="str">
        <f>IF(ISNUMBER(A31),Assignments!M2,"")</f>
        <v/>
      </c>
      <c r="C31" s="32" t="str">
        <f t="shared" si="0"/>
        <v/>
      </c>
      <c r="D31" s="21" t="str">
        <f>IF(ISNUMBER(A31),INDEX(Assignments!$M$4:$M$53,MATCH($A$9,Assignments!$B$4:$B$53,0)),"")</f>
        <v/>
      </c>
      <c r="E31" s="11"/>
    </row>
    <row r="32" ht="15.75" spans="1:5">
      <c r="A32" s="31" t="str">
        <f>IF(AND(ISNUMBER(Assignments!N1),Assignments!N1&gt;40000),Assignments!N1,"")</f>
        <v/>
      </c>
      <c r="B32" s="24" t="str">
        <f>IF(ISNUMBER(A32),Assignments!N2,"")</f>
        <v/>
      </c>
      <c r="C32" s="32" t="str">
        <f t="shared" si="0"/>
        <v/>
      </c>
      <c r="D32" s="21" t="str">
        <f>IF(ISNUMBER(A32),INDEX(Assignments!$N$4:$N$53,MATCH($A$9,Assignments!$B$4:$B$53,0)),"")</f>
        <v/>
      </c>
      <c r="E32" s="11"/>
    </row>
    <row r="33" ht="15.75" spans="1:5">
      <c r="A33" s="33" t="s">
        <v>110</v>
      </c>
      <c r="B33" s="34"/>
      <c r="C33" s="11"/>
      <c r="D33" s="11"/>
      <c r="E33" s="11"/>
    </row>
    <row r="34" spans="1:5">
      <c r="A34" s="24" t="s">
        <v>1</v>
      </c>
      <c r="B34" s="24" t="s">
        <v>28</v>
      </c>
      <c r="C34" s="24" t="s">
        <v>108</v>
      </c>
      <c r="D34" s="30" t="s">
        <v>109</v>
      </c>
      <c r="E34" s="24"/>
    </row>
    <row r="35" ht="15.75" spans="1:5">
      <c r="A35" s="31">
        <f>IF(AND(ISNUMBER(Performance!$M$1),Performance!$M$1&gt;40000),Performance!$M$1,"")</f>
        <v>45721</v>
      </c>
      <c r="B35" s="35" t="str">
        <f>IF(ISNUMBER(A35),"Class Performance 1","")</f>
        <v>Class Performance 1</v>
      </c>
      <c r="C35" s="32" t="str">
        <f>IF(ISNUMBER(A35),"1.0 x","")</f>
        <v>1.0 x</v>
      </c>
      <c r="D35" s="21" t="e">
        <f>IF(ISNUMBER(A35),INDEX(Performance!$M$3:$M$52,MATCH($A$9,Performance!$B$3:$B$52,0)),"")</f>
        <v>#N/A</v>
      </c>
      <c r="E35" s="11"/>
    </row>
    <row r="36" ht="15.75" spans="1:5">
      <c r="A36" s="31" t="str">
        <f>IF(AND(ISNUMBER(Performance!$V$1),Performance!$V$1&gt;40000),Performance!$V$1,"")</f>
        <v/>
      </c>
      <c r="B36" s="35" t="str">
        <f>IF(ISNUMBER(A36),"Class Performance 2","")</f>
        <v/>
      </c>
      <c r="C36" s="32" t="str">
        <f t="shared" ref="C36:C39" si="1">IF(ISNUMBER(A36),"1.0 x","")</f>
        <v/>
      </c>
      <c r="D36" s="21" t="str">
        <f>IF(ISNUMBER(A36),INDEX(Performance!$V$3:$V$52,MATCH($A$9,Performance!$B$3:$B$52,0)),"")</f>
        <v/>
      </c>
      <c r="E36" s="11"/>
    </row>
    <row r="37" ht="15.75" spans="1:5">
      <c r="A37" s="31" t="str">
        <f>IF(AND(ISNUMBER(Performance!$AE$1),Performance!$AE$1&gt;40000),Performance!$AE$1,"")</f>
        <v/>
      </c>
      <c r="B37" s="35" t="str">
        <f>IF(ISNUMBER(A37),"Class Performance 3","")</f>
        <v/>
      </c>
      <c r="C37" s="32" t="str">
        <f t="shared" si="1"/>
        <v/>
      </c>
      <c r="D37" s="21" t="str">
        <f>IF(ISNUMBER(A37),INDEX(Performance!$AE$3:$AE$52,MATCH($A$9,Performance!$B$3:$B$52,0)),"")</f>
        <v/>
      </c>
      <c r="E37" s="11"/>
    </row>
    <row r="38" ht="15.75" spans="1:5">
      <c r="A38" s="31" t="str">
        <f>IF(AND(ISNUMBER(Performance!$AN$1),Performance!$AN$1&gt;40000),Performance!$AN$1,"")</f>
        <v/>
      </c>
      <c r="B38" s="35" t="str">
        <f>IF(ISNUMBER(A38),"Class Performance 4","")</f>
        <v/>
      </c>
      <c r="C38" s="32" t="str">
        <f t="shared" si="1"/>
        <v/>
      </c>
      <c r="D38" s="21" t="str">
        <f>IF(ISNUMBER(A38),INDEX(Performance!$AN$3:$AN$52,MATCH($A$9,Performance!$B$3:$B$52,0)),"")</f>
        <v/>
      </c>
      <c r="E38" s="11"/>
    </row>
    <row r="39" ht="15.75" spans="1:5">
      <c r="A39" s="31" t="str">
        <f>IF(AND(ISNUMBER(Performance!$AW$1),Performance!$AW$1&gt;40000),Performance!$AW$1,"")</f>
        <v/>
      </c>
      <c r="B39" s="24" t="str">
        <f>IF(ISNUMBER(A39),"Class Performance 5","")</f>
        <v/>
      </c>
      <c r="C39" s="32" t="str">
        <f t="shared" si="1"/>
        <v/>
      </c>
      <c r="D39" s="21" t="str">
        <f>IF(ISNUMBER(A39),INDEX(Performance!$AW$3:$AW$52,MATCH($A$9,Performance!$B$3:$B$52,0)),"")</f>
        <v/>
      </c>
      <c r="E39" s="11"/>
    </row>
    <row r="40" ht="15.75" spans="1:5">
      <c r="A40" s="19" t="s">
        <v>111</v>
      </c>
      <c r="B40" s="11"/>
      <c r="C40" s="11"/>
      <c r="D40" s="11"/>
      <c r="E40" s="11"/>
    </row>
    <row r="41" spans="1:5">
      <c r="A41" s="24" t="s">
        <v>1</v>
      </c>
      <c r="B41" s="24" t="s">
        <v>107</v>
      </c>
      <c r="C41" s="24" t="s">
        <v>108</v>
      </c>
      <c r="D41" s="30" t="s">
        <v>109</v>
      </c>
      <c r="E41" s="24"/>
    </row>
    <row r="42" ht="15.75" spans="1:5">
      <c r="A42" s="36">
        <f>IF(AND(ISNUMBER('Grade book'!I1),'Grade book'!I1&gt;40000),'Grade book'!I1,"")</f>
        <v>45713</v>
      </c>
      <c r="B42" s="24" t="str">
        <f>IF(ISNUMBER(A42),"Conduct","")</f>
        <v>Conduct</v>
      </c>
      <c r="C42" s="32" t="str">
        <f>IF(ISNUMBER(A42),"1.0 x","")</f>
        <v>1.0 x</v>
      </c>
      <c r="D42" s="21" t="e">
        <f>IF(ISNUMBER(A42),INDEX('Grade book'!$I$3:$I$53,MATCH($A$9,'Grade book'!$D$3:$D$53,0)),"")</f>
        <v>#N/A</v>
      </c>
      <c r="E42" s="11"/>
    </row>
    <row r="43" ht="15.75" spans="1:5">
      <c r="A43" s="33" t="s">
        <v>112</v>
      </c>
      <c r="B43" s="37"/>
      <c r="C43" s="11"/>
      <c r="D43" s="11"/>
      <c r="E43" s="11"/>
    </row>
    <row r="44" ht="14.4" customHeight="1" spans="1:5">
      <c r="A44" s="38" t="s">
        <v>1</v>
      </c>
      <c r="B44" s="38" t="s">
        <v>107</v>
      </c>
      <c r="C44" s="24" t="s">
        <v>108</v>
      </c>
      <c r="D44" s="30" t="s">
        <v>109</v>
      </c>
      <c r="E44" s="24"/>
    </row>
    <row r="45" ht="17.4" customHeight="1" spans="1:5">
      <c r="A45" s="36">
        <f>IF(AND(ISNUMBER('Grade book'!J1),'Grade book'!J1&gt;40000),'Grade book'!J1,"")</f>
        <v>45939</v>
      </c>
      <c r="B45" s="39" t="str">
        <f>IF(ISNUMBER(A45),"Monthly test 1","")</f>
        <v>Monthly test 1</v>
      </c>
      <c r="C45" s="32" t="str">
        <f>IF(ISNUMBER(A45),"1.0 x","")</f>
        <v>1.0 x</v>
      </c>
      <c r="D45" s="21" t="e">
        <f>IF(ISNUMBER(A45),INDEX('Grade book'!$J$3:$J$53,MATCH($A$9,'Grade book'!$D$3:$D$53,0)),"")</f>
        <v>#N/A</v>
      </c>
      <c r="E45" s="11"/>
    </row>
    <row r="46" ht="15.75" spans="1:5">
      <c r="A46" s="33" t="s">
        <v>113</v>
      </c>
      <c r="B46" s="40"/>
      <c r="C46" s="11"/>
      <c r="D46" s="11"/>
      <c r="E46" s="11"/>
    </row>
    <row r="47" ht="14.4" customHeight="1" spans="1:5">
      <c r="A47" s="38" t="s">
        <v>1</v>
      </c>
      <c r="B47" s="38" t="s">
        <v>107</v>
      </c>
      <c r="C47" s="24" t="s">
        <v>108</v>
      </c>
      <c r="D47" s="30" t="s">
        <v>109</v>
      </c>
      <c r="E47" s="24"/>
    </row>
    <row r="48" ht="14.4" customHeight="1" spans="1:5">
      <c r="A48" s="41">
        <f>IF(AND(ISNUMBER('Grade book'!K1),'Grade book'!K1&gt;40000),'Grade book'!K1,"")</f>
        <v>45715</v>
      </c>
      <c r="B48" s="42" t="str">
        <f>IF(ISNUMBER(A48),"Midterm exam","")</f>
        <v>Midterm exam</v>
      </c>
      <c r="C48" s="32" t="str">
        <f>IF(ISNUMBER(A48),"1.0 x","")</f>
        <v>1.0 x</v>
      </c>
      <c r="D48" s="21" t="e">
        <f>IF(ISNUMBER(A48),INDEX('Grade book'!$K$3:$K$53,MATCH(StudentSummaryReport!$A$9,'Grade book'!$D$3:$D$53,0)),"")</f>
        <v>#N/A</v>
      </c>
      <c r="E48" s="43"/>
    </row>
    <row r="49" ht="15.75" spans="1:5">
      <c r="A49" s="33" t="s">
        <v>114</v>
      </c>
      <c r="B49" s="37"/>
      <c r="C49" s="11"/>
      <c r="D49" s="11"/>
      <c r="E49" s="11"/>
    </row>
    <row r="50" ht="14.4" customHeight="1" spans="1:5">
      <c r="A50" s="38" t="s">
        <v>1</v>
      </c>
      <c r="B50" s="38" t="s">
        <v>107</v>
      </c>
      <c r="C50" s="24" t="s">
        <v>108</v>
      </c>
      <c r="D50" s="30" t="s">
        <v>109</v>
      </c>
      <c r="E50" s="24"/>
    </row>
    <row r="51" ht="18.15" customHeight="1" spans="1:5">
      <c r="A51" s="41" t="str">
        <f>IF(AND(ISNUMBER('Grade book'!L1),'Grade book'!L1&gt;40000),'Grade book'!L1,"")</f>
        <v/>
      </c>
      <c r="B51" s="39" t="str">
        <f>IF(ISNUMBER(A51),"Monthly test 2","")</f>
        <v/>
      </c>
      <c r="C51" s="32" t="str">
        <f>IF(ISNUMBER(A51),"1.0 x","")</f>
        <v/>
      </c>
      <c r="D51" s="21" t="str">
        <f>IF(ISNUMBER(A51),INDEX('Grade book'!$L$3:$L$53,MATCH($A$9,'Grade book'!$D$3:$D$53,0)),"")</f>
        <v/>
      </c>
      <c r="E51" s="11"/>
    </row>
    <row r="52" ht="15.75" spans="1:5">
      <c r="A52" s="33" t="s">
        <v>115</v>
      </c>
      <c r="B52" s="11"/>
      <c r="C52" s="11"/>
      <c r="D52" s="11"/>
      <c r="E52" s="11"/>
    </row>
    <row r="53" spans="1:5">
      <c r="A53" s="24" t="s">
        <v>1</v>
      </c>
      <c r="B53" s="24" t="s">
        <v>107</v>
      </c>
      <c r="C53" s="24" t="s">
        <v>108</v>
      </c>
      <c r="D53" s="30" t="s">
        <v>109</v>
      </c>
      <c r="E53" s="24"/>
    </row>
    <row r="54" spans="1:5">
      <c r="A54" s="41" t="str">
        <f>IF(AND(ISNUMBER('Grade book'!M1),'Grade book'!M1&gt;40000),'Grade book'!M1,"")</f>
        <v/>
      </c>
      <c r="B54" s="44" t="str">
        <f>IF(ISNUMBER(A54),"Final exam","")</f>
        <v/>
      </c>
      <c r="C54" s="32" t="str">
        <f>IF(ISNUMBER(A54),"1.0 x","")</f>
        <v/>
      </c>
      <c r="D54" s="21" t="str">
        <f>IF(ISNUMBER(A54),INDEX('Grade book'!$M$3:$M$53,MATCH($A$9,'Grade book'!$D$3:$D$53,0)),"")</f>
        <v/>
      </c>
      <c r="E54" s="43"/>
    </row>
  </sheetData>
  <sheetProtection sheet="1" selectLockedCells="1"/>
  <mergeCells count="1">
    <mergeCell ref="A18:A19"/>
  </mergeCells>
  <dataValidations count="1">
    <dataValidation type="list" allowBlank="1" showInputMessage="1" showErrorMessage="1" sqref="A9">
      <formula1>Assignments!$B$4:$B$52</formula1>
    </dataValidation>
  </dataValidations>
  <printOptions horizontalCentered="1"/>
  <pageMargins left="0.748031496062992" right="0.748031496062992" top="0.590551181102362" bottom="0.590551181102362" header="0.31496062992126" footer="0.31496062992126"/>
  <pageSetup paperSize="9" orientation="portrait"/>
  <headerFooter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"/>
  <sheetViews>
    <sheetView workbookViewId="0">
      <selection activeCell="Q24" sqref="Q24"/>
    </sheetView>
  </sheetViews>
  <sheetFormatPr defaultColWidth="9" defaultRowHeight="13.85"/>
  <sheetData/>
  <pageMargins left="0.7" right="0.7" top="0.75" bottom="0.75" header="0.3" footer="0.3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2" master="" otherUserPermission="visible"/>
  <rangeList sheetStid="3" master="" otherUserPermission="visible"/>
  <rangeList sheetStid="1" master="" otherUserPermission="visible"/>
  <rangeList sheetStid="4" master="" otherUserPermission="visible"/>
  <rangeList sheetStid="5" master="" otherUserPermission="visible"/>
  <rangeList sheetStid="6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Assignments</vt:lpstr>
      <vt:lpstr>Performance</vt:lpstr>
      <vt:lpstr>Grade book</vt:lpstr>
      <vt:lpstr>clickme</vt:lpstr>
      <vt:lpstr>StudentSummaryReport</vt:lpstr>
      <vt:lpstr>对照表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SBS006</dc:creator>
  <cp:lastModifiedBy>aintnece</cp:lastModifiedBy>
  <dcterms:created xsi:type="dcterms:W3CDTF">2015-06-05T18:19:00Z</dcterms:created>
  <cp:lastPrinted>2025-02-25T12:17:00Z</cp:lastPrinted>
  <dcterms:modified xsi:type="dcterms:W3CDTF">2025-10-22T07:27:56Z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847F910B1E8C4280B9EF278C5F0144AA_13</vt:lpwstr>
  </property>
  <property fmtid="{D5CDD505-2E9C-101B-9397-08002B2CF9AE}" pid="3" name="KSOProductBuildVer">
    <vt:lpwstr>2052-12.1.0.22529</vt:lpwstr>
  </property>
</Properties>
</file>