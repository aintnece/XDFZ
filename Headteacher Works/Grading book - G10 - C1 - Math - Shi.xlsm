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<sst xmlns="http://schemas.openxmlformats.org/spreadsheetml/2006/main" count="155" uniqueCount="83">
  <si>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</si>
  <si>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</si>
  <si>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</si>
  <si>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</si>
  <si>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</si>
  <si>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</si>
  <si>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</si>
  <si>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</si>
  <si>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</si>
  <si>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</si>
  <si>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</si>
  <si>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</si>
  <si>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</si>
  <si>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</si>
  <si>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</si>
  <si>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</si>
  <si>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</si>
  <si>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</si>
  <si>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</si>
  <si>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</si>
  <si>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</si>
  <si>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</si>
  <si>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</si>
  <si>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</si>
  <si>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</si>
  <si>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</si>
  <si>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</si>
  <si>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</si>
  <si>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</si>
  <si>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</si>
  <si>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C1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</si>
  <si>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</si>
  <si>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</si>
  <si>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</si>
  <si>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</si>
  <si>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</si>
  <si>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</si>
  <si>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</si>
  <si>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</si>
  <si>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</si>
  <si>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</si>
  <si>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</si>
  <si>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</si>
  <si>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</si>
  <si>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</si>
  <si>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Irox</t>
  </si>
  <si>
    <t>Baker</t>
  </si>
  <si>
    <t>Ryle</t>
  </si>
  <si>
    <t>Kerry</t>
  </si>
  <si>
    <t>Sara</t>
  </si>
  <si>
    <t>Suzy</t>
  </si>
  <si>
    <t>Jan</t>
  </si>
  <si>
    <t>Cheney</t>
  </si>
  <si>
    <t>Liming</t>
  </si>
  <si>
    <t>Ricky</t>
  </si>
  <si>
    <t>Jin</t>
  </si>
  <si>
    <t>Yufei</t>
  </si>
  <si>
    <t>Guo</t>
  </si>
  <si>
    <t>Doris</t>
  </si>
  <si>
    <t>Andy</t>
  </si>
  <si>
    <t>Alvy</t>
  </si>
  <si>
    <t>Pike</t>
  </si>
  <si>
    <t>William</t>
  </si>
  <si>
    <t>Nicole</t>
  </si>
  <si>
    <t>Anne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</si>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</sst>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66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theme="1"/>
      <name val="宋体"/>
      <charset val="134"/>
    </font>
    <font>
      <sz val="11"/>
      <color theme="0"/>
      <name val="Times New Roman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b/>
      <sz val="10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0"/>
      <name val="宋体"/>
      <charset val="134"/>
    </font>
    <font>
      <b/>
      <sz val="11"/>
      <name val="宋体"/>
      <charset val="134"/>
    </font>
    <font>
      <sz val="11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0" fillId="7" borderId="6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7" applyNumberFormat="0" applyFill="0" applyAlignment="0" applyProtection="0">
      <alignment vertical="center"/>
    </xf>
    <xf numFmtId="0" fontId="42" fillId="0" borderId="7" applyNumberFormat="0" applyFill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8" borderId="9" applyNumberFormat="0" applyAlignment="0" applyProtection="0">
      <alignment vertical="center"/>
    </xf>
    <xf numFmtId="0" fontId="45" fillId="9" borderId="10" applyNumberFormat="0" applyAlignment="0" applyProtection="0">
      <alignment vertical="center"/>
    </xf>
    <xf numFmtId="0" fontId="46" fillId="9" borderId="9" applyNumberFormat="0" applyAlignment="0" applyProtection="0">
      <alignment vertical="center"/>
    </xf>
    <xf numFmtId="0" fontId="47" fillId="10" borderId="11" applyNumberFormat="0" applyAlignment="0" applyProtection="0">
      <alignment vertical="center"/>
    </xf>
    <xf numFmtId="0" fontId="48" fillId="0" borderId="12" applyNumberFormat="0" applyFill="0" applyAlignment="0" applyProtection="0">
      <alignment vertical="center"/>
    </xf>
    <xf numFmtId="0" fontId="49" fillId="0" borderId="13" applyNumberFormat="0" applyFill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4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8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5" fillId="0" borderId="0" applyFill="0">
      <alignment vertical="center"/>
    </xf>
  </cellStyleXfs>
  <cellXfs count="70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0" fillId="0" borderId="0" xfId="0" applyFont="1"/>
    <xf numFmtId="0" fontId="27" fillId="2" borderId="3" xfId="0" applyFont="1" applyFill="1" applyBorder="1" applyAlignment="1">
      <alignment horizontal="left" vertical="top" wrapText="1"/>
    </xf>
    <xf numFmtId="0" fontId="28" fillId="3" borderId="3" xfId="0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177" fontId="0" fillId="3" borderId="3" xfId="0" applyNumberFormat="1" applyFont="1" applyFill="1" applyBorder="1"/>
    <xf numFmtId="0" fontId="0" fillId="0" borderId="3" xfId="0" applyBorder="1"/>
    <xf numFmtId="0" fontId="27" fillId="0" borderId="3" xfId="0" applyFont="1" applyBorder="1" applyAlignment="1">
      <alignment horizontal="left" vertical="top"/>
    </xf>
    <xf numFmtId="0" fontId="30" fillId="0" borderId="3" xfId="0" applyFont="1" applyFill="1" applyBorder="1" applyAlignment="1">
      <alignment horizontal="center" vertical="center"/>
    </xf>
    <xf numFmtId="1" fontId="31" fillId="4" borderId="3" xfId="0" applyNumberFormat="1" applyFont="1" applyFill="1" applyBorder="1" applyAlignment="1">
      <alignment horizontal="center" vertical="top"/>
    </xf>
    <xf numFmtId="0" fontId="31" fillId="4" borderId="3" xfId="0" applyFont="1" applyFill="1" applyBorder="1" applyAlignment="1">
      <alignment horizontal="center" vertical="top"/>
    </xf>
    <xf numFmtId="0" fontId="32" fillId="0" borderId="3" xfId="0" applyFont="1" applyFill="1" applyBorder="1" applyAlignment="1">
      <alignment horizontal="center" vertical="center"/>
    </xf>
    <xf numFmtId="0" fontId="33" fillId="5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7" fillId="6" borderId="4" xfId="0" applyFont="1" applyFill="1" applyBorder="1" applyAlignment="1">
      <alignment horizontal="center" vertical="top" wrapText="1"/>
    </xf>
    <xf numFmtId="0" fontId="27" fillId="6" borderId="5" xfId="0" applyFont="1" applyFill="1" applyBorder="1" applyAlignment="1">
      <alignment horizontal="center" vertical="top" wrapText="1"/>
    </xf>
    <xf numFmtId="1" fontId="27" fillId="2" borderId="3" xfId="0" applyNumberFormat="1" applyFont="1" applyFill="1" applyBorder="1" applyAlignment="1">
      <alignment horizontal="left" vertical="top" wrapText="1"/>
    </xf>
    <xf numFmtId="176" fontId="27" fillId="3" borderId="3" xfId="0" applyNumberFormat="1" applyFont="1" applyFill="1" applyBorder="1" applyAlignment="1">
      <alignment horizontal="left" vertical="top" wrapText="1"/>
    </xf>
    <xf numFmtId="0" fontId="27" fillId="2" borderId="4" xfId="0" applyFont="1" applyFill="1" applyBorder="1" applyAlignment="1">
      <alignment horizontal="center" vertical="top" wrapText="1"/>
    </xf>
    <xf numFmtId="0" fontId="27" fillId="2" borderId="5" xfId="0" applyFont="1" applyFill="1" applyBorder="1" applyAlignment="1">
      <alignment horizontal="center" vertical="top" wrapText="1"/>
    </xf>
    <xf numFmtId="1" fontId="27" fillId="3" borderId="3" xfId="0" applyNumberFormat="1" applyFont="1" applyFill="1" applyBorder="1" applyAlignment="1">
      <alignment horizontal="left" vertical="top" wrapText="1"/>
    </xf>
    <xf numFmtId="0" fontId="34" fillId="4" borderId="3" xfId="0" applyFont="1" applyFill="1" applyBorder="1" applyAlignment="1">
      <alignment horizontal="center"/>
    </xf>
    <xf numFmtId="0" fontId="35" fillId="3" borderId="3" xfId="0" applyFont="1" applyFill="1" applyBorder="1" applyAlignment="1">
      <alignment horizontal="center" vertical="center" shrinkToFit="1"/>
    </xf>
    <xf numFmtId="1" fontId="31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68" t="s">
        <v>0</v>
      </c>
      <c r="C1" s="47"/>
      <c r="D1" s="47" t="s">
        <v>1</v>
      </c>
      <c r="E1" s="63">
        <v>45695</v>
      </c>
      <c r="F1" s="63">
        <v>45716</v>
      </c>
      <c r="G1" s="63"/>
      <c r="H1" s="63"/>
      <c r="I1" s="63"/>
      <c r="J1" s="63"/>
      <c r="K1" s="63"/>
      <c r="L1" s="63"/>
      <c r="M1" s="63"/>
      <c r="N1" s="63"/>
      <c r="O1" s="62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2" t="s">
        <v>6</v>
      </c>
      <c r="F2" s="62" t="s">
        <v>7</v>
      </c>
      <c r="G2" s="62" t="s">
        <v>8</v>
      </c>
      <c r="H2" s="62" t="s">
        <v>9</v>
      </c>
      <c r="I2" s="62" t="s">
        <v>10</v>
      </c>
      <c r="J2" s="62" t="s">
        <v>11</v>
      </c>
      <c r="K2" s="62" t="s">
        <v>12</v>
      </c>
      <c r="L2" s="62" t="s">
        <v>13</v>
      </c>
      <c r="M2" s="62" t="s">
        <v>14</v>
      </c>
      <c r="N2" s="62" t="s">
        <v>15</v>
      </c>
      <c r="O2" s="62" t="s">
        <v>16</v>
      </c>
    </row>
    <row r="3" ht="13.9" spans="1:15">
      <c r="A3" s="47"/>
      <c r="B3" s="47"/>
      <c r="C3" s="47"/>
      <c r="D3" s="47"/>
      <c r="E3" s="66" t="s">
        <v>17</v>
      </c>
      <c r="F3" s="62"/>
      <c r="G3" s="62"/>
      <c r="H3" s="62"/>
      <c r="I3" s="62"/>
      <c r="J3" s="62"/>
      <c r="K3" s="62"/>
      <c r="L3" s="62"/>
      <c r="M3" s="62"/>
      <c r="N3" s="62"/>
      <c r="O3" s="62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69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69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69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69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69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69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69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69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69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69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69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69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69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69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69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69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69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69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69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69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69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69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69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69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69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69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69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69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69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69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69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69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69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69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69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69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69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69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69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69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69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69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69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69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69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69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69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69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69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69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0">
        <v>1</v>
      </c>
      <c r="F1" s="61"/>
      <c r="G1" s="60">
        <v>2</v>
      </c>
      <c r="H1" s="61"/>
      <c r="I1" s="60">
        <v>3</v>
      </c>
      <c r="J1" s="61"/>
      <c r="K1" s="60">
        <v>4</v>
      </c>
      <c r="L1" s="61"/>
      <c r="M1" s="63">
        <v>45721</v>
      </c>
      <c r="N1" s="64">
        <v>5</v>
      </c>
      <c r="O1" s="65"/>
      <c r="P1" s="64">
        <v>6</v>
      </c>
      <c r="Q1" s="65"/>
      <c r="R1" s="64">
        <v>7</v>
      </c>
      <c r="S1" s="65"/>
      <c r="T1" s="64">
        <v>8</v>
      </c>
      <c r="U1" s="65"/>
      <c r="V1" s="63"/>
      <c r="W1" s="64">
        <v>9</v>
      </c>
      <c r="X1" s="65"/>
      <c r="Y1" s="64">
        <v>10</v>
      </c>
      <c r="Z1" s="65"/>
      <c r="AA1" s="64">
        <v>11</v>
      </c>
      <c r="AB1" s="65"/>
      <c r="AC1" s="64">
        <v>12</v>
      </c>
      <c r="AD1" s="65"/>
      <c r="AE1" s="63"/>
      <c r="AF1" s="64">
        <v>13</v>
      </c>
      <c r="AG1" s="65"/>
      <c r="AH1" s="64">
        <v>14</v>
      </c>
      <c r="AI1" s="65"/>
      <c r="AJ1" s="64">
        <v>15</v>
      </c>
      <c r="AK1" s="65"/>
      <c r="AL1" s="64">
        <v>16</v>
      </c>
      <c r="AM1" s="65"/>
      <c r="AN1" s="63"/>
      <c r="AO1" s="64">
        <v>17</v>
      </c>
      <c r="AP1" s="65"/>
      <c r="AQ1" s="64">
        <v>18</v>
      </c>
      <c r="AR1" s="65"/>
      <c r="AS1" s="64">
        <v>19</v>
      </c>
      <c r="AT1" s="65"/>
      <c r="AU1" s="64">
        <v>20</v>
      </c>
      <c r="AV1" s="65"/>
      <c r="AW1" s="63"/>
      <c r="AX1" s="62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2" t="s">
        <v>21</v>
      </c>
      <c r="F2" s="62" t="s">
        <v>22</v>
      </c>
      <c r="G2" s="62" t="s">
        <v>21</v>
      </c>
      <c r="H2" s="62" t="s">
        <v>22</v>
      </c>
      <c r="I2" s="62" t="s">
        <v>21</v>
      </c>
      <c r="J2" s="62" t="s">
        <v>22</v>
      </c>
      <c r="K2" s="62" t="s">
        <v>21</v>
      </c>
      <c r="L2" s="62" t="s">
        <v>22</v>
      </c>
      <c r="M2" s="66" t="s">
        <v>23</v>
      </c>
      <c r="N2" s="62" t="s">
        <v>21</v>
      </c>
      <c r="O2" s="62" t="s">
        <v>22</v>
      </c>
      <c r="P2" s="62" t="s">
        <v>21</v>
      </c>
      <c r="Q2" s="62" t="s">
        <v>22</v>
      </c>
      <c r="R2" s="62" t="s">
        <v>21</v>
      </c>
      <c r="S2" s="62" t="s">
        <v>22</v>
      </c>
      <c r="T2" s="62" t="s">
        <v>21</v>
      </c>
      <c r="U2" s="62" t="s">
        <v>22</v>
      </c>
      <c r="V2" s="66" t="s">
        <v>24</v>
      </c>
      <c r="W2" s="62" t="s">
        <v>21</v>
      </c>
      <c r="X2" s="62" t="s">
        <v>22</v>
      </c>
      <c r="Y2" s="62" t="s">
        <v>21</v>
      </c>
      <c r="Z2" s="62" t="s">
        <v>22</v>
      </c>
      <c r="AA2" s="62" t="s">
        <v>21</v>
      </c>
      <c r="AB2" s="62" t="s">
        <v>22</v>
      </c>
      <c r="AC2" s="62" t="s">
        <v>21</v>
      </c>
      <c r="AD2" s="62" t="s">
        <v>22</v>
      </c>
      <c r="AE2" s="66" t="s">
        <v>25</v>
      </c>
      <c r="AF2" s="62" t="s">
        <v>21</v>
      </c>
      <c r="AG2" s="62" t="s">
        <v>22</v>
      </c>
      <c r="AH2" s="62" t="s">
        <v>21</v>
      </c>
      <c r="AI2" s="62" t="s">
        <v>22</v>
      </c>
      <c r="AJ2" s="62" t="s">
        <v>21</v>
      </c>
      <c r="AK2" s="62" t="s">
        <v>22</v>
      </c>
      <c r="AL2" s="62" t="s">
        <v>21</v>
      </c>
      <c r="AM2" s="62" t="s">
        <v>22</v>
      </c>
      <c r="AN2" s="66" t="s">
        <v>26</v>
      </c>
      <c r="AO2" s="62" t="s">
        <v>21</v>
      </c>
      <c r="AP2" s="62" t="s">
        <v>22</v>
      </c>
      <c r="AQ2" s="62" t="s">
        <v>21</v>
      </c>
      <c r="AR2" s="62" t="s">
        <v>22</v>
      </c>
      <c r="AS2" s="62" t="s">
        <v>21</v>
      </c>
      <c r="AT2" s="62" t="s">
        <v>22</v>
      </c>
      <c r="AU2" s="62" t="s">
        <v>21</v>
      </c>
      <c r="AV2" s="62" t="s">
        <v>22</v>
      </c>
      <c r="AW2" s="66" t="s">
        <v>27</v>
      </c>
      <c r="AX2" s="66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67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67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67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67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67" t="str">
        <f>IF(ISERROR(AVERAGE(AO3:AV3)),"",ROUNDUP(AVERAGE(AO3:AV3),0))</f>
        <v/>
      </c>
      <c r="AX3" s="67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67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67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67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67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67" t="str">
        <f t="shared" ref="AW4:AW52" si="4">IF(ISERROR(AVERAGE(AO4:AV4)),"",ROUNDUP(AVERAGE(AO4:AV4),0))</f>
        <v/>
      </c>
      <c r="AX4" s="67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67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67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67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67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67" t="str">
        <f t="shared" si="4"/>
        <v/>
      </c>
      <c r="AX5" s="67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67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67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67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67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67" t="str">
        <f t="shared" si="4"/>
        <v/>
      </c>
      <c r="AX6" s="67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67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67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67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67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67" t="str">
        <f t="shared" si="4"/>
        <v/>
      </c>
      <c r="AX7" s="67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67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67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67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67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67" t="str">
        <f t="shared" si="4"/>
        <v/>
      </c>
      <c r="AX8" s="67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67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67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67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67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67" t="str">
        <f t="shared" si="4"/>
        <v/>
      </c>
      <c r="AX9" s="67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67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67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67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67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67" t="str">
        <f t="shared" si="4"/>
        <v/>
      </c>
      <c r="AX10" s="67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67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67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67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67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67" t="str">
        <f t="shared" si="4"/>
        <v/>
      </c>
      <c r="AX11" s="67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67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67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67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67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67" t="str">
        <f t="shared" si="4"/>
        <v/>
      </c>
      <c r="AX12" s="67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67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67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67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67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67" t="str">
        <f t="shared" si="4"/>
        <v/>
      </c>
      <c r="AX13" s="67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67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67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67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67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67" t="str">
        <f t="shared" si="4"/>
        <v/>
      </c>
      <c r="AX14" s="67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67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67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67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67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67" t="str">
        <f t="shared" si="4"/>
        <v/>
      </c>
      <c r="AX15" s="67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67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67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67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67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67" t="str">
        <f t="shared" si="4"/>
        <v/>
      </c>
      <c r="AX16" s="67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67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67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67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67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67" t="str">
        <f t="shared" si="4"/>
        <v/>
      </c>
      <c r="AX17" s="67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67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67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67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67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67" t="str">
        <f t="shared" si="4"/>
        <v/>
      </c>
      <c r="AX18" s="67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67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67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67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67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67" t="str">
        <f t="shared" si="4"/>
        <v/>
      </c>
      <c r="AX19" s="67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67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67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67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67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67" t="str">
        <f t="shared" si="4"/>
        <v/>
      </c>
      <c r="AX20" s="67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67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67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67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67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67" t="str">
        <f t="shared" si="4"/>
        <v/>
      </c>
      <c r="AX21" s="67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67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67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67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67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67" t="str">
        <f t="shared" si="4"/>
        <v/>
      </c>
      <c r="AX22" s="67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67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67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67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67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67" t="str">
        <f t="shared" si="4"/>
        <v/>
      </c>
      <c r="AX23" s="67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67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67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67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67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67" t="str">
        <f t="shared" si="4"/>
        <v/>
      </c>
      <c r="AX24" s="67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67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67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67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67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67" t="str">
        <f t="shared" si="4"/>
        <v/>
      </c>
      <c r="AX25" s="67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67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67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67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67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67" t="str">
        <f t="shared" si="4"/>
        <v/>
      </c>
      <c r="AX26" s="67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67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67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67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67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67" t="str">
        <f t="shared" si="4"/>
        <v/>
      </c>
      <c r="AX27" s="67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67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67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67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67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67" t="str">
        <f t="shared" si="4"/>
        <v/>
      </c>
      <c r="AX28" s="67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67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67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67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67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67" t="str">
        <f t="shared" si="4"/>
        <v/>
      </c>
      <c r="AX29" s="67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67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67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67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67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67" t="str">
        <f t="shared" si="4"/>
        <v/>
      </c>
      <c r="AX30" s="67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67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67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67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67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67" t="str">
        <f t="shared" si="4"/>
        <v/>
      </c>
      <c r="AX31" s="67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67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67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67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67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67" t="str">
        <f t="shared" si="4"/>
        <v/>
      </c>
      <c r="AX32" s="67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67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67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67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67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67" t="str">
        <f t="shared" si="4"/>
        <v/>
      </c>
      <c r="AX33" s="67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67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67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67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67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67" t="str">
        <f t="shared" si="4"/>
        <v/>
      </c>
      <c r="AX34" s="67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67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67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67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67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67" t="str">
        <f t="shared" si="4"/>
        <v/>
      </c>
      <c r="AX35" s="67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67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67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67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67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67" t="str">
        <f t="shared" si="4"/>
        <v/>
      </c>
      <c r="AX36" s="67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67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67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67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67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67" t="str">
        <f t="shared" si="4"/>
        <v/>
      </c>
      <c r="AX37" s="67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67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67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67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67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67" t="str">
        <f t="shared" si="4"/>
        <v/>
      </c>
      <c r="AX38" s="67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67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67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67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67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67" t="str">
        <f t="shared" si="4"/>
        <v/>
      </c>
      <c r="AX39" s="67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67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67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67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67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67" t="str">
        <f t="shared" si="4"/>
        <v/>
      </c>
      <c r="AX40" s="67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67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67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67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67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67" t="str">
        <f t="shared" si="4"/>
        <v/>
      </c>
      <c r="AX41" s="67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67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67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67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67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67" t="str">
        <f t="shared" si="4"/>
        <v/>
      </c>
      <c r="AX42" s="67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67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67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67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67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67" t="str">
        <f t="shared" si="4"/>
        <v/>
      </c>
      <c r="AX43" s="67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67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67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67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67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67" t="str">
        <f t="shared" si="4"/>
        <v/>
      </c>
      <c r="AX44" s="67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67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67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67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67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67" t="str">
        <f t="shared" si="4"/>
        <v/>
      </c>
      <c r="AX45" s="67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67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67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67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67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67" t="str">
        <f t="shared" si="4"/>
        <v/>
      </c>
      <c r="AX46" s="67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67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67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67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67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67" t="str">
        <f t="shared" si="4"/>
        <v/>
      </c>
      <c r="AX47" s="67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67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67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67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67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67" t="str">
        <f t="shared" si="4"/>
        <v/>
      </c>
      <c r="AX48" s="67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67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67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67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67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67" t="str">
        <f t="shared" si="4"/>
        <v/>
      </c>
      <c r="AX49" s="67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67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67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67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67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67" t="str">
        <f t="shared" si="4"/>
        <v/>
      </c>
      <c r="AX50" s="67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67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67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67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67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67" t="str">
        <f t="shared" si="4"/>
        <v/>
      </c>
      <c r="AX51" s="67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67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67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67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67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67" t="str">
        <f t="shared" si="4"/>
        <v/>
      </c>
      <c r="AX52" s="67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J19" sqref="J19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58" t="s">
        <v>41</v>
      </c>
      <c r="P2" s="47" t="s">
        <v>42</v>
      </c>
      <c r="Q2" s="58" t="s">
        <v>43</v>
      </c>
      <c r="R2" s="58" t="s">
        <v>44</v>
      </c>
      <c r="S2" s="59"/>
      <c r="T2" s="59"/>
      <c r="U2" s="59"/>
      <c r="V2" s="59"/>
      <c r="W2" s="59"/>
      <c r="X2" s="59"/>
      <c r="Y2" s="59"/>
      <c r="Z2" s="59"/>
    </row>
    <row r="3" ht="15" customHeight="1" spans="3:26">
      <c r="C3" s="51"/>
      <c r="D3" s="52"/>
      <c r="E3" s="53" t="s">
        <v>45</v>
      </c>
      <c r="F3" s="52"/>
      <c r="G3" s="54" t="str">
        <f>Assignments!O4</f>
        <v/>
      </c>
      <c r="H3" s="55">
        <f>Performance!AX3</f>
        <v>95</v>
      </c>
      <c r="I3" s="52"/>
      <c r="J3" s="52">
        <v>95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59"/>
      <c r="T3" s="59"/>
      <c r="U3" s="59"/>
      <c r="V3" s="59"/>
      <c r="W3" s="59"/>
      <c r="X3" s="59"/>
      <c r="Y3" s="59"/>
      <c r="Z3" s="59"/>
    </row>
    <row r="4" ht="15" customHeight="1" spans="3:26">
      <c r="C4" s="51"/>
      <c r="D4" s="52"/>
      <c r="E4" s="53" t="s">
        <v>46</v>
      </c>
      <c r="F4" s="52"/>
      <c r="G4" s="54" t="str">
        <f>Assignments!O5</f>
        <v/>
      </c>
      <c r="H4" s="55">
        <f>Performance!AX4</f>
        <v>95</v>
      </c>
      <c r="I4" s="52"/>
      <c r="J4" s="52">
        <v>91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59"/>
      <c r="T4" s="59"/>
      <c r="U4" s="59"/>
      <c r="V4" s="59"/>
      <c r="W4" s="59"/>
      <c r="X4" s="59"/>
      <c r="Y4" s="59"/>
      <c r="Z4" s="59"/>
    </row>
    <row r="5" ht="15" customHeight="1" spans="3:26">
      <c r="C5" s="51"/>
      <c r="D5" s="52"/>
      <c r="E5" s="53" t="s">
        <v>47</v>
      </c>
      <c r="F5" s="52"/>
      <c r="G5" s="54" t="str">
        <f>Assignments!O6</f>
        <v/>
      </c>
      <c r="H5" s="55">
        <f>Performance!AX5</f>
        <v>95</v>
      </c>
      <c r="I5" s="52"/>
      <c r="J5" s="52">
        <v>96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59"/>
      <c r="T5" s="59"/>
      <c r="U5" s="59"/>
      <c r="V5" s="59"/>
      <c r="W5" s="59"/>
      <c r="X5" s="59"/>
      <c r="Y5" s="59"/>
      <c r="Z5" s="59"/>
    </row>
    <row r="6" ht="15" customHeight="1" spans="3:26">
      <c r="C6" s="51"/>
      <c r="D6" s="52"/>
      <c r="E6" s="53" t="s">
        <v>48</v>
      </c>
      <c r="F6" s="52"/>
      <c r="G6" s="54" t="str">
        <f>Assignments!O7</f>
        <v/>
      </c>
      <c r="H6" s="55">
        <f>Performance!AX6</f>
        <v>95</v>
      </c>
      <c r="I6" s="52"/>
      <c r="J6" s="52">
        <v>94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59"/>
      <c r="T6" s="59"/>
      <c r="U6" s="59"/>
      <c r="V6" s="59"/>
      <c r="W6" s="59"/>
      <c r="X6" s="59"/>
      <c r="Y6" s="59"/>
      <c r="Z6" s="59"/>
    </row>
    <row r="7" ht="15" customHeight="1" spans="3:26">
      <c r="C7" s="51"/>
      <c r="D7" s="52"/>
      <c r="E7" s="53" t="s">
        <v>49</v>
      </c>
      <c r="F7" s="52"/>
      <c r="G7" s="54" t="str">
        <f>Assignments!O8</f>
        <v/>
      </c>
      <c r="H7" s="55">
        <f>Performance!AX7</f>
        <v>95</v>
      </c>
      <c r="I7" s="52"/>
      <c r="J7" s="52">
        <v>89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59"/>
      <c r="T7" s="59"/>
      <c r="U7" s="59"/>
      <c r="V7" s="59"/>
      <c r="W7" s="59"/>
      <c r="X7" s="59"/>
      <c r="Y7" s="59"/>
      <c r="Z7" s="59"/>
    </row>
    <row r="8" ht="15" customHeight="1" spans="3:26">
      <c r="C8" s="51"/>
      <c r="D8" s="52"/>
      <c r="E8" s="53" t="s">
        <v>50</v>
      </c>
      <c r="F8" s="52"/>
      <c r="G8" s="54" t="str">
        <f>Assignments!O9</f>
        <v/>
      </c>
      <c r="H8" s="55">
        <f>Performance!AX8</f>
        <v>95</v>
      </c>
      <c r="I8" s="52"/>
      <c r="J8" s="52">
        <v>97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59"/>
      <c r="T8" s="59"/>
      <c r="U8" s="59"/>
      <c r="V8" s="59"/>
      <c r="W8" s="59"/>
      <c r="X8" s="59"/>
      <c r="Y8" s="59"/>
      <c r="Z8" s="59"/>
    </row>
    <row r="9" ht="15" customHeight="1" spans="3:26">
      <c r="C9" s="51"/>
      <c r="D9" s="52"/>
      <c r="E9" s="53" t="s">
        <v>51</v>
      </c>
      <c r="F9" s="52"/>
      <c r="G9" s="54" t="str">
        <f>Assignments!O10</f>
        <v/>
      </c>
      <c r="H9" s="55">
        <f>Performance!AX9</f>
        <v>95</v>
      </c>
      <c r="I9" s="52"/>
      <c r="J9" s="52">
        <v>88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59"/>
      <c r="T9" s="59"/>
      <c r="U9" s="59"/>
      <c r="V9" s="59"/>
      <c r="W9" s="59"/>
      <c r="X9" s="59"/>
      <c r="Y9" s="59"/>
      <c r="Z9" s="59"/>
    </row>
    <row r="10" ht="15" customHeight="1" spans="3:26">
      <c r="C10" s="51"/>
      <c r="D10" s="52"/>
      <c r="E10" s="53" t="s">
        <v>52</v>
      </c>
      <c r="F10" s="52"/>
      <c r="G10" s="54" t="str">
        <f>Assignments!O11</f>
        <v/>
      </c>
      <c r="H10" s="55">
        <f>Performance!AX10</f>
        <v>95</v>
      </c>
      <c r="I10" s="52"/>
      <c r="J10" s="52">
        <v>90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59"/>
      <c r="T10" s="59"/>
      <c r="U10" s="59"/>
      <c r="V10" s="59"/>
      <c r="W10" s="59"/>
      <c r="X10" s="59"/>
      <c r="Y10" s="59"/>
      <c r="Z10" s="59"/>
    </row>
    <row r="11" ht="15" customHeight="1" spans="3:26">
      <c r="C11" s="51"/>
      <c r="D11" s="52"/>
      <c r="E11" s="53" t="s">
        <v>53</v>
      </c>
      <c r="F11" s="52"/>
      <c r="G11" s="54" t="str">
        <f>Assignments!O12</f>
        <v/>
      </c>
      <c r="H11" s="55">
        <f>Performance!AX11</f>
        <v>95</v>
      </c>
      <c r="I11" s="52"/>
      <c r="J11" s="52">
        <v>88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59"/>
      <c r="T11" s="59"/>
      <c r="U11" s="59"/>
      <c r="V11" s="59"/>
      <c r="W11" s="59"/>
      <c r="X11" s="59"/>
      <c r="Y11" s="59"/>
      <c r="Z11" s="59"/>
    </row>
    <row r="12" ht="15" customHeight="1" spans="3:26">
      <c r="C12" s="51"/>
      <c r="D12" s="52"/>
      <c r="E12" s="53"/>
      <c r="F12" s="52"/>
      <c r="G12" s="54" t="str">
        <f>Assignments!O13</f>
        <v/>
      </c>
      <c r="H12" s="55">
        <f>Performance!AX12</f>
        <v>95</v>
      </c>
      <c r="I12" s="52"/>
      <c r="J12" s="52"/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59"/>
      <c r="T12" s="59"/>
      <c r="U12" s="59"/>
      <c r="V12" s="59"/>
      <c r="W12" s="59"/>
      <c r="X12" s="59"/>
      <c r="Y12" s="59"/>
      <c r="Z12" s="59"/>
    </row>
    <row r="13" ht="15" customHeight="1" spans="3:26">
      <c r="C13" s="51"/>
      <c r="D13" s="52"/>
      <c r="E13" s="53" t="s">
        <v>54</v>
      </c>
      <c r="F13" s="52"/>
      <c r="G13" s="54" t="str">
        <f>Assignments!O14</f>
        <v/>
      </c>
      <c r="H13" s="55" t="str">
        <f>Performance!AX13</f>
        <v/>
      </c>
      <c r="I13" s="52"/>
      <c r="J13" s="52">
        <v>75</v>
      </c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59"/>
      <c r="T13" s="59"/>
      <c r="U13" s="59"/>
      <c r="V13" s="59"/>
      <c r="W13" s="59"/>
      <c r="X13" s="59"/>
      <c r="Y13" s="59"/>
      <c r="Z13" s="59"/>
    </row>
    <row r="14" ht="15" customHeight="1" spans="3:26">
      <c r="C14" s="51"/>
      <c r="D14" s="52"/>
      <c r="E14" s="56" t="s">
        <v>55</v>
      </c>
      <c r="F14" s="52"/>
      <c r="G14" s="54" t="str">
        <f>Assignments!O15</f>
        <v/>
      </c>
      <c r="H14" s="55" t="str">
        <f>Performance!AX14</f>
        <v/>
      </c>
      <c r="I14" s="52"/>
      <c r="J14" s="52">
        <v>86</v>
      </c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59"/>
      <c r="T14" s="59"/>
      <c r="U14" s="59"/>
      <c r="V14" s="59"/>
      <c r="W14" s="59"/>
      <c r="X14" s="59"/>
      <c r="Y14" s="59"/>
      <c r="Z14" s="59"/>
    </row>
    <row r="15" ht="15" customHeight="1" spans="3:26">
      <c r="C15" s="51"/>
      <c r="D15" s="52" t="s">
        <v>56</v>
      </c>
      <c r="E15" s="56"/>
      <c r="F15" s="52" t="s">
        <v>57</v>
      </c>
      <c r="G15" s="54" t="str">
        <f>Assignments!O16</f>
        <v/>
      </c>
      <c r="H15" s="55" t="str">
        <f>Performance!AX15</f>
        <v/>
      </c>
      <c r="I15" s="52"/>
      <c r="J15" s="52">
        <v>90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59"/>
      <c r="T15" s="59"/>
      <c r="U15" s="59"/>
      <c r="V15" s="59"/>
      <c r="W15" s="59"/>
      <c r="X15" s="59"/>
      <c r="Y15" s="59"/>
      <c r="Z15" s="59"/>
    </row>
    <row r="16" ht="15" customHeight="1" spans="3:26">
      <c r="C16" s="51"/>
      <c r="D16" s="52"/>
      <c r="E16" s="56" t="s">
        <v>58</v>
      </c>
      <c r="F16" s="52"/>
      <c r="G16" s="54" t="str">
        <f>Assignments!O17</f>
        <v/>
      </c>
      <c r="H16" s="55" t="str">
        <f>Performance!AX16</f>
        <v/>
      </c>
      <c r="I16" s="52"/>
      <c r="J16" s="52">
        <v>68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59"/>
      <c r="T16" s="59"/>
      <c r="U16" s="59"/>
      <c r="V16" s="59"/>
      <c r="W16" s="59"/>
      <c r="X16" s="59"/>
      <c r="Y16" s="59"/>
      <c r="Z16" s="59"/>
    </row>
    <row r="17" ht="15" customHeight="1" spans="3:26">
      <c r="C17" s="51"/>
      <c r="D17" s="52"/>
      <c r="E17" s="56" t="s">
        <v>59</v>
      </c>
      <c r="F17" s="52"/>
      <c r="G17" s="54" t="str">
        <f>Assignments!O18</f>
        <v/>
      </c>
      <c r="H17" s="55" t="str">
        <f>Performance!AX17</f>
        <v/>
      </c>
      <c r="I17" s="52"/>
      <c r="J17" s="52">
        <v>78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59"/>
      <c r="T17" s="59"/>
      <c r="U17" s="59"/>
      <c r="V17" s="59"/>
      <c r="W17" s="59"/>
      <c r="X17" s="59"/>
      <c r="Y17" s="59"/>
      <c r="Z17" s="59"/>
    </row>
    <row r="18" ht="15" customHeight="1" spans="3:26">
      <c r="C18" s="51"/>
      <c r="D18" s="52"/>
      <c r="E18" s="56" t="s">
        <v>60</v>
      </c>
      <c r="F18" s="52"/>
      <c r="G18" s="54" t="str">
        <f>Assignments!O19</f>
        <v/>
      </c>
      <c r="H18" s="55" t="str">
        <f>Performance!AX18</f>
        <v/>
      </c>
      <c r="I18" s="52"/>
      <c r="J18" s="52">
        <v>91</v>
      </c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59"/>
      <c r="T18" s="59"/>
      <c r="U18" s="59"/>
      <c r="V18" s="59"/>
      <c r="W18" s="59"/>
      <c r="X18" s="59"/>
      <c r="Y18" s="59"/>
      <c r="Z18" s="59"/>
    </row>
    <row r="19" ht="15" customHeight="1" spans="3:26">
      <c r="C19" s="51"/>
      <c r="D19" s="52"/>
      <c r="E19" s="56" t="s">
        <v>61</v>
      </c>
      <c r="F19" s="52"/>
      <c r="G19" s="54" t="str">
        <f>Assignments!O20</f>
        <v/>
      </c>
      <c r="H19" s="55" t="str">
        <f>Performance!AX19</f>
        <v/>
      </c>
      <c r="I19" s="52"/>
      <c r="J19" s="52">
        <v>75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59"/>
      <c r="T19" s="59"/>
      <c r="U19" s="59"/>
      <c r="V19" s="59"/>
      <c r="W19" s="59"/>
      <c r="X19" s="59"/>
      <c r="Y19" s="59"/>
      <c r="Z19" s="59"/>
    </row>
    <row r="20" ht="15" customHeight="1" spans="3:26">
      <c r="C20" s="51"/>
      <c r="D20" s="52"/>
      <c r="E20" s="56" t="s">
        <v>62</v>
      </c>
      <c r="F20" s="52"/>
      <c r="G20" s="54" t="str">
        <f>Assignments!O21</f>
        <v/>
      </c>
      <c r="H20" s="55" t="str">
        <f>Performance!AX20</f>
        <v/>
      </c>
      <c r="I20" s="52"/>
      <c r="J20" s="52"/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59"/>
      <c r="T20" s="59"/>
      <c r="U20" s="59"/>
      <c r="V20" s="59"/>
      <c r="W20" s="59"/>
      <c r="X20" s="59"/>
      <c r="Y20" s="59"/>
      <c r="Z20" s="59"/>
    </row>
    <row r="21" ht="15" customHeight="1" spans="3:26">
      <c r="C21" s="51"/>
      <c r="D21" s="52"/>
      <c r="E21" s="56" t="s">
        <v>63</v>
      </c>
      <c r="F21" s="52"/>
      <c r="G21" s="54" t="str">
        <f>Assignments!O22</f>
        <v/>
      </c>
      <c r="H21" s="55" t="str">
        <f>Performance!AX21</f>
        <v/>
      </c>
      <c r="I21" s="52"/>
      <c r="J21" s="52"/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59"/>
      <c r="T21" s="59"/>
      <c r="U21" s="59"/>
      <c r="V21" s="59"/>
      <c r="W21" s="59"/>
      <c r="X21" s="59"/>
      <c r="Y21" s="59"/>
      <c r="Z21" s="59"/>
    </row>
    <row r="22" ht="15" customHeight="1" spans="3:26">
      <c r="C22" s="51"/>
      <c r="D22" s="51"/>
      <c r="E22" s="57" t="s">
        <v>64</v>
      </c>
      <c r="F22" s="51"/>
      <c r="G22" s="54" t="str">
        <f>Assignments!O23</f>
        <v/>
      </c>
      <c r="H22" s="55" t="str">
        <f>Performance!AX22</f>
        <v/>
      </c>
      <c r="I22" s="52"/>
      <c r="J22" s="52">
        <v>96</v>
      </c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59"/>
      <c r="T22" s="59"/>
      <c r="U22" s="59"/>
      <c r="V22" s="59"/>
      <c r="W22" s="59"/>
      <c r="X22" s="59"/>
      <c r="Y22" s="59"/>
      <c r="Z22" s="59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59"/>
      <c r="T23" s="59"/>
      <c r="U23" s="59"/>
      <c r="V23" s="59"/>
      <c r="W23" s="59"/>
      <c r="X23" s="59"/>
      <c r="Y23" s="59"/>
      <c r="Z23" s="59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65</v>
      </c>
    </row>
    <row r="6" spans="4:5">
      <c r="D6" s="4"/>
      <c r="E6" s="5" t="s">
        <v>66</v>
      </c>
    </row>
    <row r="7" spans="2:5">
      <c r="B7" s="6"/>
      <c r="C7" s="6"/>
      <c r="D7" s="4"/>
      <c r="E7" s="7" t="str">
        <f ca="1">"Printed: "&amp;TEXT(TODAY(),"[$-en-US]d mmm. yy;@")</f>
        <v>Printed: 10 Oct. 25</v>
      </c>
    </row>
    <row r="8" ht="21.75" hidden="1" spans="1:5">
      <c r="A8" s="8"/>
      <c r="B8" s="8"/>
      <c r="C8" s="8"/>
      <c r="D8" s="8"/>
      <c r="E8" s="9" t="s">
        <v>67</v>
      </c>
    </row>
    <row r="9" ht="16.5" hidden="1" spans="1:2">
      <c r="A9" s="10" t="s">
        <v>68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C1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C1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69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70</v>
      </c>
      <c r="B18" s="26" t="s">
        <v>71</v>
      </c>
    </row>
    <row r="19" ht="4.2" customHeight="1" spans="1:2">
      <c r="A19" s="25"/>
      <c r="B19" s="26"/>
    </row>
    <row r="20" spans="1:2">
      <c r="A20" s="27" t="s">
        <v>72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73</v>
      </c>
      <c r="B21" s="29"/>
      <c r="C21" s="11"/>
      <c r="D21" s="11"/>
      <c r="E21" s="11"/>
    </row>
    <row r="22" spans="1:5">
      <c r="A22" s="24" t="s">
        <v>1</v>
      </c>
      <c r="B22" s="24" t="s">
        <v>74</v>
      </c>
      <c r="C22" s="24" t="s">
        <v>75</v>
      </c>
      <c r="D22" s="30" t="s">
        <v>76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77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75</v>
      </c>
      <c r="D34" s="30" t="s">
        <v>76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78</v>
      </c>
      <c r="B40" s="11"/>
      <c r="C40" s="11"/>
      <c r="D40" s="11"/>
      <c r="E40" s="11"/>
    </row>
    <row r="41" spans="1:5">
      <c r="A41" s="24" t="s">
        <v>1</v>
      </c>
      <c r="B41" s="24" t="s">
        <v>74</v>
      </c>
      <c r="C41" s="24" t="s">
        <v>75</v>
      </c>
      <c r="D41" s="30" t="s">
        <v>76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79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74</v>
      </c>
      <c r="C44" s="24" t="s">
        <v>75</v>
      </c>
      <c r="D44" s="30" t="s">
        <v>76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80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74</v>
      </c>
      <c r="C47" s="24" t="s">
        <v>75</v>
      </c>
      <c r="D47" s="30" t="s">
        <v>76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81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74</v>
      </c>
      <c r="C50" s="24" t="s">
        <v>75</v>
      </c>
      <c r="D50" s="30" t="s">
        <v>76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82</v>
      </c>
      <c r="B52" s="11"/>
      <c r="C52" s="11"/>
      <c r="D52" s="11"/>
      <c r="E52" s="11"/>
    </row>
    <row r="53" spans="1:5">
      <c r="A53" s="24" t="s">
        <v>1</v>
      </c>
      <c r="B53" s="24" t="s">
        <v>74</v>
      </c>
      <c r="C53" s="24" t="s">
        <v>75</v>
      </c>
      <c r="D53" s="30" t="s">
        <v>76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2025-10-10T12:24:10Z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0A5E8C74E40244CA972FDDF6888B5285_13</vt:lpwstr>
  </property>
  <property fmtid="{D5CDD505-2E9C-101B-9397-08002B2CF9AE}" pid="3" name="KSOProductBuildVer">
    <vt:lpwstr>2052-12.1.0.22529</vt:lpwstr>
  </property>
</Properties>
</file>